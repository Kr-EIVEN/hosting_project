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DT_9\Final_Project\data\"/>
    </mc:Choice>
  </mc:AlternateContent>
  <xr:revisionPtr revIDLastSave="0" documentId="13_ncr:1_{88B208B1-7E40-41DB-B468-3F7FB771FED1}" xr6:coauthVersionLast="47" xr6:coauthVersionMax="47" xr10:uidLastSave="{00000000-0000-0000-0000-000000000000}"/>
  <bookViews>
    <workbookView xWindow="9850" yWindow="330" windowWidth="16020" windowHeight="14940" xr2:uid="{477F8D07-9C3C-4E69-8DD3-39F3291B82D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8" i="1" l="1"/>
  <c r="C109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0" i="1"/>
  <c r="C19" i="1"/>
  <c r="C18" i="1"/>
  <c r="C17" i="1"/>
  <c r="C14" i="1"/>
  <c r="C13" i="1"/>
  <c r="C12" i="1"/>
  <c r="C11" i="1"/>
  <c r="C10" i="1"/>
  <c r="C9" i="1"/>
  <c r="C6" i="1"/>
  <c r="C94" i="1" l="1"/>
  <c r="C22" i="1"/>
  <c r="C21" i="1" s="1"/>
  <c r="C50" i="1"/>
  <c r="C77" i="1"/>
  <c r="C15" i="1"/>
  <c r="C4" i="1" l="1"/>
  <c r="C3" i="1" s="1"/>
  <c r="C49" i="1" s="1"/>
  <c r="C76" i="1" s="1"/>
  <c r="C108" i="1" s="1"/>
  <c r="C110" i="1" s="1"/>
</calcChain>
</file>

<file path=xl/sharedStrings.xml><?xml version="1.0" encoding="utf-8"?>
<sst xmlns="http://schemas.openxmlformats.org/spreadsheetml/2006/main" count="320" uniqueCount="289">
  <si>
    <t>매출액</t>
  </si>
  <si>
    <t xml:space="preserve"> 국내매출액</t>
  </si>
  <si>
    <t>판매수량</t>
  </si>
  <si>
    <t xml:space="preserve">  제품매출</t>
  </si>
  <si>
    <t>매출액-일반-제품</t>
  </si>
  <si>
    <t xml:space="preserve">  상품매출</t>
  </si>
  <si>
    <t xml:space="preserve">  설비매출</t>
  </si>
  <si>
    <t xml:space="preserve">  시작차매출</t>
  </si>
  <si>
    <t>VV007</t>
  </si>
  <si>
    <t>매출액-일반-기타</t>
  </si>
  <si>
    <t xml:space="preserve">    부산물매출</t>
  </si>
  <si>
    <t xml:space="preserve">  기타매출</t>
  </si>
  <si>
    <t xml:space="preserve">  기타매출(금창)</t>
  </si>
  <si>
    <t xml:space="preserve">  사급</t>
  </si>
  <si>
    <t xml:space="preserve"> 수출매출액</t>
  </si>
  <si>
    <t xml:space="preserve">  판매수량(수출)</t>
  </si>
  <si>
    <t>매출원가계</t>
  </si>
  <si>
    <t xml:space="preserve"> 매출원가</t>
  </si>
  <si>
    <t>VV100</t>
  </si>
  <si>
    <t>(제실)매출원가(A)</t>
  </si>
  <si>
    <t xml:space="preserve">  원재료비</t>
  </si>
  <si>
    <t>VV101</t>
  </si>
  <si>
    <t>(제실)원재료비(A)</t>
  </si>
  <si>
    <t xml:space="preserve">  부재료비-직거래품</t>
  </si>
  <si>
    <t>VV102</t>
  </si>
  <si>
    <t>(제실)부재료비-직거래품(A)</t>
  </si>
  <si>
    <t xml:space="preserve">  부재료비-반제품</t>
  </si>
  <si>
    <t>VV103</t>
  </si>
  <si>
    <t>(제실)부재료비-반제품(A)</t>
  </si>
  <si>
    <t xml:space="preserve">  부재료비-핫스템핑</t>
  </si>
  <si>
    <t>VV104</t>
  </si>
  <si>
    <t>(제실)부재료비-핫스템핑(A)</t>
  </si>
  <si>
    <t xml:space="preserve">  부재료비-사급품</t>
  </si>
  <si>
    <t>VV105</t>
  </si>
  <si>
    <t>(제실)부재료비-사급품(A)</t>
  </si>
  <si>
    <t xml:space="preserve">  부재료비-H/W</t>
  </si>
  <si>
    <t>VV106</t>
  </si>
  <si>
    <t>(제실)부재료비-H/W(A)</t>
  </si>
  <si>
    <t xml:space="preserve">  부재료비-PAD</t>
  </si>
  <si>
    <t>VV107</t>
  </si>
  <si>
    <t>(제실)부재료비-PAD(A)</t>
  </si>
  <si>
    <t xml:space="preserve">  부재료비-구조용접</t>
  </si>
  <si>
    <t>VV108</t>
  </si>
  <si>
    <t>(제실)부재료비-구조용접착제(A)</t>
  </si>
  <si>
    <t xml:space="preserve">  반제품</t>
  </si>
  <si>
    <t>VV122</t>
  </si>
  <si>
    <t>반제품(A)</t>
  </si>
  <si>
    <t xml:space="preserve">  제품</t>
  </si>
  <si>
    <t>VV123</t>
  </si>
  <si>
    <t>제품(A)</t>
  </si>
  <si>
    <t xml:space="preserve">  상품</t>
  </si>
  <si>
    <t>VV125</t>
  </si>
  <si>
    <t>상품(A)</t>
  </si>
  <si>
    <t xml:space="preserve">  직접노무비</t>
  </si>
  <si>
    <t>VV109</t>
  </si>
  <si>
    <t>(제실)직접노무비(A)</t>
  </si>
  <si>
    <t xml:space="preserve">  간접노무비</t>
  </si>
  <si>
    <t>VV110</t>
  </si>
  <si>
    <t>(제실)간접노무비(A)</t>
  </si>
  <si>
    <t xml:space="preserve">  도급</t>
  </si>
  <si>
    <t>VV111</t>
  </si>
  <si>
    <t>(제실)도급(A)</t>
  </si>
  <si>
    <t xml:space="preserve">  직접경비</t>
  </si>
  <si>
    <t>VV112</t>
  </si>
  <si>
    <t>(제실)직접경비(A)</t>
  </si>
  <si>
    <t xml:space="preserve">  간접경비</t>
  </si>
  <si>
    <t>VV113</t>
  </si>
  <si>
    <t>(제실)간접경비(A)</t>
  </si>
  <si>
    <t xml:space="preserve">  기계</t>
  </si>
  <si>
    <t>VV114</t>
  </si>
  <si>
    <t>(제실)기계(A)</t>
  </si>
  <si>
    <t xml:space="preserve">  스크랩</t>
  </si>
  <si>
    <t>VV115</t>
  </si>
  <si>
    <t>(제실)스크랩(A)</t>
  </si>
  <si>
    <t xml:space="preserve">  유상사급차익</t>
  </si>
  <si>
    <t>VV116</t>
  </si>
  <si>
    <t>(제실)유상사급차익(A)</t>
  </si>
  <si>
    <t xml:space="preserve">  재고실사조정</t>
  </si>
  <si>
    <t>VV117</t>
  </si>
  <si>
    <t>(제실)재고실사조정(A)</t>
  </si>
  <si>
    <t xml:space="preserve">  감가비</t>
  </si>
  <si>
    <t>VV118</t>
  </si>
  <si>
    <t>(제실)감가비(A)</t>
  </si>
  <si>
    <t xml:space="preserve">  전력비</t>
  </si>
  <si>
    <t>VV119</t>
  </si>
  <si>
    <t>(제실)전력비(A)</t>
  </si>
  <si>
    <t xml:space="preserve">  운반비</t>
  </si>
  <si>
    <t>VV120</t>
  </si>
  <si>
    <t>(제실)운반비(A)</t>
  </si>
  <si>
    <t>VV124</t>
  </si>
  <si>
    <t>외주가공비(A)</t>
  </si>
  <si>
    <t xml:space="preserve">  기타</t>
  </si>
  <si>
    <t>VV121</t>
  </si>
  <si>
    <t>(제실)기타(A)</t>
  </si>
  <si>
    <t xml:space="preserve"> 매출원가(기타)</t>
  </si>
  <si>
    <t>VV199</t>
  </si>
  <si>
    <t>기타매출원가</t>
  </si>
  <si>
    <t>매출총이익</t>
  </si>
  <si>
    <t>판매비와일반관리비</t>
  </si>
  <si>
    <t>VV201</t>
  </si>
  <si>
    <t>(판)운반비</t>
  </si>
  <si>
    <t xml:space="preserve">  급여</t>
  </si>
  <si>
    <t>VV202</t>
  </si>
  <si>
    <t>(판)급여</t>
  </si>
  <si>
    <t xml:space="preserve">  퇴직급여</t>
  </si>
  <si>
    <t>VV203</t>
  </si>
  <si>
    <t>(판)퇴직급여</t>
  </si>
  <si>
    <t xml:space="preserve">  용역비</t>
  </si>
  <si>
    <t>VV204</t>
  </si>
  <si>
    <t>(판)용역비</t>
  </si>
  <si>
    <t xml:space="preserve">  수출제비용</t>
  </si>
  <si>
    <t>VV205</t>
  </si>
  <si>
    <t>(판)수출제비용</t>
  </si>
  <si>
    <t xml:space="preserve">  세금과공과</t>
  </si>
  <si>
    <t>VV206</t>
  </si>
  <si>
    <t>(판)세금과공과</t>
  </si>
  <si>
    <t xml:space="preserve">  지급수수료</t>
  </si>
  <si>
    <t>VV207</t>
  </si>
  <si>
    <t>(판)지급수수료</t>
  </si>
  <si>
    <t xml:space="preserve">  여비교통비</t>
  </si>
  <si>
    <t>VV208</t>
  </si>
  <si>
    <t>(판)여비교통비</t>
  </si>
  <si>
    <t xml:space="preserve">  복리후생비</t>
  </si>
  <si>
    <t>VV209</t>
  </si>
  <si>
    <t>(판)복리후생비</t>
  </si>
  <si>
    <t xml:space="preserve">  소모품비</t>
  </si>
  <si>
    <t>VV210</t>
  </si>
  <si>
    <t>(판)소모품비</t>
  </si>
  <si>
    <t xml:space="preserve">  감가상각비</t>
  </si>
  <si>
    <t>VV211</t>
  </si>
  <si>
    <t>(판)감가상각비</t>
  </si>
  <si>
    <t xml:space="preserve">  업무추진비,접대비</t>
  </si>
  <si>
    <t>VV212</t>
  </si>
  <si>
    <t>(판)업무추진비,접대비</t>
  </si>
  <si>
    <t xml:space="preserve">  교육훈련비</t>
  </si>
  <si>
    <t>VV213</t>
  </si>
  <si>
    <t>(판)교육훈련비</t>
  </si>
  <si>
    <t xml:space="preserve">  수도광열비</t>
  </si>
  <si>
    <t>VV214</t>
  </si>
  <si>
    <t>(판)수도광열비</t>
  </si>
  <si>
    <t xml:space="preserve">  잡비</t>
  </si>
  <si>
    <t>VV215</t>
  </si>
  <si>
    <t>(판)잡비</t>
  </si>
  <si>
    <t xml:space="preserve">  차량유지비</t>
  </si>
  <si>
    <t>VV216</t>
  </si>
  <si>
    <t>(판)차량유지비</t>
  </si>
  <si>
    <t xml:space="preserve">  통신비</t>
  </si>
  <si>
    <t>VV217</t>
  </si>
  <si>
    <t>(판)통신비</t>
  </si>
  <si>
    <t xml:space="preserve">  회의비</t>
  </si>
  <si>
    <t>VV218</t>
  </si>
  <si>
    <t>(판)회의비</t>
  </si>
  <si>
    <t xml:space="preserve">  광고선전비</t>
  </si>
  <si>
    <t>VV219</t>
  </si>
  <si>
    <t>(판)광고선전비</t>
  </si>
  <si>
    <t xml:space="preserve">  무형자산상각비</t>
  </si>
  <si>
    <t>VV220</t>
  </si>
  <si>
    <t>(판)무형자산상각비</t>
  </si>
  <si>
    <t xml:space="preserve">  사무용품비</t>
  </si>
  <si>
    <t>VV221</t>
  </si>
  <si>
    <t>(판)사무용품비</t>
  </si>
  <si>
    <t xml:space="preserve">  인쇄료</t>
  </si>
  <si>
    <t>VV222</t>
  </si>
  <si>
    <t>(판)인쇄료</t>
  </si>
  <si>
    <t xml:space="preserve">  보험료</t>
  </si>
  <si>
    <t>VV223</t>
  </si>
  <si>
    <t>(판)보험료</t>
  </si>
  <si>
    <t xml:space="preserve">  수선비</t>
  </si>
  <si>
    <t>VV224</t>
  </si>
  <si>
    <t>(판)수선비</t>
  </si>
  <si>
    <t xml:space="preserve">  대손상각비</t>
  </si>
  <si>
    <t>VV225</t>
  </si>
  <si>
    <t>(판)대손상각비</t>
  </si>
  <si>
    <t>영업외수익</t>
  </si>
  <si>
    <t xml:space="preserve">  수입수수료</t>
  </si>
  <si>
    <t>VV301</t>
  </si>
  <si>
    <t>(영수)수입수수료</t>
  </si>
  <si>
    <t xml:space="preserve">  유형자산처분이익</t>
  </si>
  <si>
    <t>VV302</t>
  </si>
  <si>
    <t>(영수)유형자산처분이익</t>
  </si>
  <si>
    <t xml:space="preserve">  잡이익</t>
  </si>
  <si>
    <t>VV303</t>
  </si>
  <si>
    <t>(영수)잡이익</t>
  </si>
  <si>
    <t xml:space="preserve">  외환차익</t>
  </si>
  <si>
    <t>VV304</t>
  </si>
  <si>
    <t>(영수)외환차익</t>
  </si>
  <si>
    <t xml:space="preserve">  외화환산이익</t>
  </si>
  <si>
    <t>VV305</t>
  </si>
  <si>
    <t>(영수)외화환산이익</t>
  </si>
  <si>
    <t xml:space="preserve">  이자수익</t>
  </si>
  <si>
    <t>VV306</t>
  </si>
  <si>
    <t>(영수)이자수익</t>
  </si>
  <si>
    <t xml:space="preserve">  수입임대료</t>
  </si>
  <si>
    <t>VV307</t>
  </si>
  <si>
    <t>(영수)수입임대료</t>
  </si>
  <si>
    <t xml:space="preserve">  단기투자자산처분이익</t>
  </si>
  <si>
    <t>VV308</t>
  </si>
  <si>
    <t>(영수)단기투자자산처분이익</t>
  </si>
  <si>
    <t xml:space="preserve">  장기투자자산처분이익</t>
  </si>
  <si>
    <t>VV309</t>
  </si>
  <si>
    <t>(영수)장기투자자산처분이익</t>
  </si>
  <si>
    <t xml:space="preserve">  파생상품자산평가이익</t>
  </si>
  <si>
    <t>VV310</t>
  </si>
  <si>
    <t>(영수)파생상품자산평가이익</t>
  </si>
  <si>
    <t xml:space="preserve">  파생상품거래이익</t>
  </si>
  <si>
    <t>VV311</t>
  </si>
  <si>
    <t>(영수)파생상품거래이익</t>
  </si>
  <si>
    <t xml:space="preserve">  매도가능증권처분이익</t>
  </si>
  <si>
    <t>VV312</t>
  </si>
  <si>
    <t>(영수)매도가능증권처분이익</t>
  </si>
  <si>
    <t xml:space="preserve">  배당금수입</t>
  </si>
  <si>
    <t>VV313</t>
  </si>
  <si>
    <t>(영수)배당금수입</t>
  </si>
  <si>
    <t xml:space="preserve">  무형자산처분이익</t>
  </si>
  <si>
    <t>VV314</t>
  </si>
  <si>
    <t>(영수)무형자산처분이익</t>
  </si>
  <si>
    <t xml:space="preserve">  당기손익인식자산평가이익</t>
  </si>
  <si>
    <t>VV315</t>
  </si>
  <si>
    <t>(영수)당기손익인식자산평가이익</t>
  </si>
  <si>
    <t>VV316</t>
  </si>
  <si>
    <t>영업외수익기타</t>
  </si>
  <si>
    <t>영업외비용</t>
  </si>
  <si>
    <t xml:space="preserve">  외환차손</t>
  </si>
  <si>
    <t>VV330</t>
  </si>
  <si>
    <t>(영비)외환차손</t>
  </si>
  <si>
    <t xml:space="preserve">  이자비용</t>
  </si>
  <si>
    <t>VV331</t>
  </si>
  <si>
    <t>(영비)이자비용</t>
  </si>
  <si>
    <t xml:space="preserve">  잡손실</t>
  </si>
  <si>
    <t>VV332</t>
  </si>
  <si>
    <t>(영비)잡손실</t>
  </si>
  <si>
    <t xml:space="preserve">  기부금</t>
  </si>
  <si>
    <t>VV333</t>
  </si>
  <si>
    <t>(영비)기부금</t>
  </si>
  <si>
    <t xml:space="preserve">  장기투자증권평가손실</t>
  </si>
  <si>
    <t>VV334</t>
  </si>
  <si>
    <t>(영비)장기투자증권평가손실</t>
  </si>
  <si>
    <t xml:space="preserve">  당기손익인식자산평가손실</t>
  </si>
  <si>
    <t>VV335</t>
  </si>
  <si>
    <t>(영비)당기손익인식자산평가손실</t>
  </si>
  <si>
    <t xml:space="preserve">  당기손익인식자산처분손실</t>
  </si>
  <si>
    <t>VV336</t>
  </si>
  <si>
    <t>(영비)당기손익인식자산처분손실</t>
  </si>
  <si>
    <t xml:space="preserve">  파생상품자산거래손실</t>
  </si>
  <si>
    <t>VV337</t>
  </si>
  <si>
    <t>(영비)파생상품자산거래손실</t>
  </si>
  <si>
    <t xml:space="preserve">  파생상품자산평가손실</t>
  </si>
  <si>
    <t>VV338</t>
  </si>
  <si>
    <t>(영비)파생상품자산평가손실</t>
  </si>
  <si>
    <t xml:space="preserve">  유형자산처분손실</t>
  </si>
  <si>
    <t>VV339</t>
  </si>
  <si>
    <t>(영비)유형자산처분손실</t>
  </si>
  <si>
    <t xml:space="preserve">  종속기업투자손상차손</t>
  </si>
  <si>
    <t>VV340</t>
  </si>
  <si>
    <t>(영비)종속기업투자손상차손</t>
  </si>
  <si>
    <t xml:space="preserve">  외화환산손실</t>
  </si>
  <si>
    <t>VV341</t>
  </si>
  <si>
    <t>(영비)외화환산손실</t>
  </si>
  <si>
    <t>VV342</t>
  </si>
  <si>
    <t>영업외비용기타</t>
  </si>
  <si>
    <t>법인세차감전순이익</t>
  </si>
  <si>
    <t>VV360</t>
  </si>
  <si>
    <t>법인세비용</t>
  </si>
  <si>
    <t>당기순이익</t>
  </si>
  <si>
    <t>번호</t>
    <phoneticPr fontId="2" type="noConversion"/>
  </si>
  <si>
    <t>항목</t>
    <phoneticPr fontId="2" type="noConversion"/>
  </si>
  <si>
    <t>실제 비용</t>
    <phoneticPr fontId="2" type="noConversion"/>
  </si>
  <si>
    <t>산출식</t>
    <phoneticPr fontId="2" type="noConversion"/>
  </si>
  <si>
    <t>2+13</t>
    <phoneticPr fontId="2" type="noConversion"/>
  </si>
  <si>
    <t>4+5+6+7+8+9+10+11</t>
    <phoneticPr fontId="2" type="noConversion"/>
  </si>
  <si>
    <t xml:space="preserve">  판매수량(국내)</t>
    <phoneticPr fontId="2" type="noConversion"/>
  </si>
  <si>
    <t>VV000</t>
    <phoneticPr fontId="2" type="noConversion"/>
  </si>
  <si>
    <t>VV001</t>
    <phoneticPr fontId="2" type="noConversion"/>
  </si>
  <si>
    <t xml:space="preserve">    부산물매출 (영업)</t>
    <phoneticPr fontId="2" type="noConversion"/>
  </si>
  <si>
    <t>15+16+17+18</t>
    <phoneticPr fontId="2" type="noConversion"/>
  </si>
  <si>
    <t>20+46</t>
    <phoneticPr fontId="2" type="noConversion"/>
  </si>
  <si>
    <t>21+…+45</t>
    <phoneticPr fontId="2" type="noConversion"/>
  </si>
  <si>
    <t>외주가공비</t>
    <phoneticPr fontId="2" type="noConversion"/>
  </si>
  <si>
    <t>1-19</t>
    <phoneticPr fontId="2" type="noConversion"/>
  </si>
  <si>
    <t>49+…+73</t>
    <phoneticPr fontId="2" type="noConversion"/>
  </si>
  <si>
    <t>영업이익</t>
    <phoneticPr fontId="2" type="noConversion"/>
  </si>
  <si>
    <t>47-48</t>
    <phoneticPr fontId="2" type="noConversion"/>
  </si>
  <si>
    <t>76+…+91</t>
    <phoneticPr fontId="2" type="noConversion"/>
  </si>
  <si>
    <t>93+…+105</t>
    <phoneticPr fontId="2" type="noConversion"/>
  </si>
  <si>
    <t>(74-75)-92</t>
    <phoneticPr fontId="2" type="noConversion"/>
  </si>
  <si>
    <t>105-106</t>
    <phoneticPr fontId="2" type="noConversion"/>
  </si>
  <si>
    <t>값필드코드</t>
    <phoneticPr fontId="2" type="noConversion"/>
  </si>
  <si>
    <t>값필드명</t>
    <phoneticPr fontId="2" type="noConversion"/>
  </si>
  <si>
    <t>법인세비용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</si>
</sst>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0.0%"/>
    <numFmt numFmtId="178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1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1" applyNumberFormat="1" applyFont="1" applyFill="1" applyBorder="1" applyAlignment="1">
      <alignment horizontal="right" vertical="center"/>
    </xf>
    <xf numFmtId="0" fontId="0" fillId="3" borderId="1" xfId="2" quotePrefix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1" applyNumberFormat="1" applyFont="1" applyFill="1" applyBorder="1" applyAlignment="1">
      <alignment horizontal="right" vertical="center"/>
    </xf>
    <xf numFmtId="177" fontId="0" fillId="4" borderId="1" xfId="2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1" applyNumberFormat="1" applyFont="1" applyBorder="1" applyAlignment="1">
      <alignment horizontal="right" vertical="center"/>
    </xf>
    <xf numFmtId="177" fontId="0" fillId="0" borderId="1" xfId="2" applyNumberFormat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77" fontId="0" fillId="3" borderId="1" xfId="2" quotePrefix="1" applyNumberFormat="1" applyFont="1" applyFill="1" applyBorder="1" applyAlignment="1">
      <alignment horizontal="center" vertical="center"/>
    </xf>
    <xf numFmtId="177" fontId="0" fillId="4" borderId="1" xfId="2" applyNumberFormat="1" applyFont="1" applyFill="1" applyBorder="1" applyAlignment="1">
      <alignment horizontal="center" vertical="center"/>
    </xf>
    <xf numFmtId="178" fontId="0" fillId="3" borderId="1" xfId="2" quotePrefix="1" applyNumberFormat="1" applyFont="1" applyFill="1" applyBorder="1" applyAlignment="1">
      <alignment horizontal="center" vertical="center"/>
    </xf>
    <xf numFmtId="41" fontId="0" fillId="3" borderId="1" xfId="1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DT46\OneDrive\Desktop\&#44592;&#50629;&#54532;&#47196;&#51229;&#53944;\&#44288;&#47532;&#54924;&#44228;%20back%20data_&#44208;&#49328;%20&#48372;&#44256;%20&#50577;&#49885;.xlsx" TargetMode="External"/><Relationship Id="rId1" Type="http://schemas.openxmlformats.org/officeDocument/2006/relationships/externalLinkPath" Target="/Users/KDT46/OneDrive/Desktop/&#44592;&#50629;&#54532;&#47196;&#51229;&#53944;/&#44288;&#47532;&#54924;&#44228;%20back%20data_&#44208;&#49328;%20&#48372;&#44256;%20&#50577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설명"/>
      <sheetName val="결산보고 양식"/>
      <sheetName val="Back data"/>
      <sheetName val="코드표 참고"/>
    </sheetNames>
    <sheetDataSet>
      <sheetData sheetId="0"/>
      <sheetData sheetId="1"/>
      <sheetData sheetId="2">
        <row r="2">
          <cell r="I2" t="str">
            <v/>
          </cell>
          <cell r="K2" t="str">
            <v/>
          </cell>
          <cell r="N2" t="str">
            <v>A</v>
          </cell>
          <cell r="O2" t="str">
            <v>B</v>
          </cell>
          <cell r="S2">
            <v>0</v>
          </cell>
          <cell r="Y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</row>
        <row r="3">
          <cell r="I3" t="str">
            <v/>
          </cell>
          <cell r="K3" t="str">
            <v/>
          </cell>
          <cell r="N3" t="str">
            <v>B</v>
          </cell>
          <cell r="O3" t="str">
            <v>B</v>
          </cell>
          <cell r="S3">
            <v>0</v>
          </cell>
          <cell r="Y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</row>
        <row r="4">
          <cell r="I4" t="str">
            <v/>
          </cell>
          <cell r="K4" t="str">
            <v/>
          </cell>
          <cell r="N4" t="str">
            <v>C</v>
          </cell>
          <cell r="O4" t="str">
            <v>B</v>
          </cell>
          <cell r="S4">
            <v>0</v>
          </cell>
          <cell r="Y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</row>
        <row r="5">
          <cell r="I5" t="str">
            <v/>
          </cell>
          <cell r="K5" t="str">
            <v/>
          </cell>
          <cell r="N5" t="str">
            <v>D</v>
          </cell>
          <cell r="O5" t="str">
            <v>B</v>
          </cell>
          <cell r="S5">
            <v>0</v>
          </cell>
          <cell r="Y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</row>
        <row r="6">
          <cell r="I6" t="str">
            <v/>
          </cell>
          <cell r="K6" t="str">
            <v/>
          </cell>
          <cell r="N6" t="str">
            <v>F</v>
          </cell>
          <cell r="O6" t="str">
            <v>B</v>
          </cell>
          <cell r="S6">
            <v>0</v>
          </cell>
          <cell r="Y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I7" t="str">
            <v/>
          </cell>
          <cell r="K7" t="str">
            <v/>
          </cell>
          <cell r="N7" t="str">
            <v>H</v>
          </cell>
          <cell r="O7" t="str">
            <v>B</v>
          </cell>
          <cell r="S7">
            <v>0</v>
          </cell>
          <cell r="Y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I8" t="str">
            <v/>
          </cell>
          <cell r="K8" t="str">
            <v/>
          </cell>
          <cell r="N8" t="str">
            <v>Z</v>
          </cell>
          <cell r="O8" t="str">
            <v>B</v>
          </cell>
          <cell r="S8">
            <v>0</v>
          </cell>
          <cell r="Y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I9" t="str">
            <v/>
          </cell>
          <cell r="K9" t="str">
            <v>10</v>
          </cell>
          <cell r="N9" t="str">
            <v>2</v>
          </cell>
          <cell r="O9" t="str">
            <v>B</v>
          </cell>
          <cell r="S9">
            <v>0</v>
          </cell>
          <cell r="Y9">
            <v>325610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I10" t="str">
            <v/>
          </cell>
          <cell r="K10" t="str">
            <v>10</v>
          </cell>
          <cell r="N10" t="str">
            <v>4</v>
          </cell>
          <cell r="O10" t="str">
            <v>B</v>
          </cell>
          <cell r="S10">
            <v>0</v>
          </cell>
          <cell r="Y10">
            <v>400000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I11" t="str">
            <v/>
          </cell>
          <cell r="K11" t="str">
            <v>10</v>
          </cell>
          <cell r="N11" t="str">
            <v>5</v>
          </cell>
          <cell r="O11" t="str">
            <v>B</v>
          </cell>
          <cell r="S11">
            <v>0</v>
          </cell>
          <cell r="Y11">
            <v>4181092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I12" t="str">
            <v/>
          </cell>
          <cell r="K12" t="str">
            <v>10</v>
          </cell>
          <cell r="N12" t="str">
            <v>Z</v>
          </cell>
          <cell r="O12" t="str">
            <v>B</v>
          </cell>
          <cell r="S12">
            <v>0</v>
          </cell>
          <cell r="Y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I13" t="str">
            <v/>
          </cell>
          <cell r="K13" t="str">
            <v>30</v>
          </cell>
          <cell r="N13" t="str">
            <v>4</v>
          </cell>
          <cell r="O13" t="str">
            <v>B</v>
          </cell>
          <cell r="S13">
            <v>0</v>
          </cell>
          <cell r="Y13">
            <v>495795786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I14" t="str">
            <v/>
          </cell>
          <cell r="K14" t="str">
            <v>30</v>
          </cell>
          <cell r="N14" t="str">
            <v>6</v>
          </cell>
          <cell r="O14" t="str">
            <v>B</v>
          </cell>
          <cell r="S14">
            <v>0</v>
          </cell>
          <cell r="Y14">
            <v>16615648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I15" t="str">
            <v/>
          </cell>
          <cell r="K15" t="str">
            <v>92</v>
          </cell>
          <cell r="N15" t="str">
            <v>3</v>
          </cell>
          <cell r="O15" t="str">
            <v>B</v>
          </cell>
          <cell r="S15">
            <v>0</v>
          </cell>
          <cell r="Y15">
            <v>884696155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I16" t="str">
            <v>7900</v>
          </cell>
          <cell r="K16" t="str">
            <v>30</v>
          </cell>
          <cell r="N16" t="str">
            <v/>
          </cell>
          <cell r="O16" t="str">
            <v>F</v>
          </cell>
          <cell r="S16">
            <v>30394930</v>
          </cell>
          <cell r="Y16">
            <v>0</v>
          </cell>
          <cell r="AB16">
            <v>27070970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30493</v>
          </cell>
          <cell r="AJ16">
            <v>0</v>
          </cell>
          <cell r="AK16">
            <v>0</v>
          </cell>
          <cell r="AL16">
            <v>0</v>
          </cell>
          <cell r="AM16">
            <v>1959159</v>
          </cell>
          <cell r="AN16">
            <v>3366883</v>
          </cell>
          <cell r="AO16">
            <v>0</v>
          </cell>
          <cell r="AP16">
            <v>228838</v>
          </cell>
          <cell r="AQ16">
            <v>1857992</v>
          </cell>
          <cell r="AR16">
            <v>1014150</v>
          </cell>
          <cell r="AS16">
            <v>20</v>
          </cell>
          <cell r="AT16">
            <v>0</v>
          </cell>
          <cell r="AU16">
            <v>-1303698</v>
          </cell>
          <cell r="AV16">
            <v>711014</v>
          </cell>
          <cell r="AW16">
            <v>311888</v>
          </cell>
          <cell r="AX16">
            <v>139858</v>
          </cell>
          <cell r="AY16">
            <v>17028</v>
          </cell>
          <cell r="AZ16">
            <v>-18</v>
          </cell>
        </row>
        <row r="17">
          <cell r="I17" t="str">
            <v>7920</v>
          </cell>
          <cell r="K17" t="str">
            <v>10</v>
          </cell>
          <cell r="N17" t="str">
            <v>1</v>
          </cell>
          <cell r="O17" t="str">
            <v>D</v>
          </cell>
          <cell r="S17">
            <v>0</v>
          </cell>
          <cell r="Y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I18" t="str">
            <v>7920</v>
          </cell>
          <cell r="K18" t="str">
            <v>10</v>
          </cell>
          <cell r="N18" t="str">
            <v>1</v>
          </cell>
          <cell r="O18" t="str">
            <v>D</v>
          </cell>
          <cell r="S18">
            <v>0</v>
          </cell>
          <cell r="Y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I19" t="str">
            <v>7920</v>
          </cell>
          <cell r="K19" t="str">
            <v>10</v>
          </cell>
          <cell r="N19" t="str">
            <v/>
          </cell>
          <cell r="O19" t="str">
            <v>F</v>
          </cell>
          <cell r="S19">
            <v>166644</v>
          </cell>
          <cell r="Y19">
            <v>0</v>
          </cell>
          <cell r="AB19">
            <v>167197</v>
          </cell>
          <cell r="AC19">
            <v>0</v>
          </cell>
          <cell r="AD19">
            <v>18049</v>
          </cell>
          <cell r="AE19">
            <v>0</v>
          </cell>
          <cell r="AF19">
            <v>0</v>
          </cell>
          <cell r="AG19">
            <v>384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6766</v>
          </cell>
          <cell r="AN19">
            <v>309992</v>
          </cell>
          <cell r="AO19">
            <v>341199</v>
          </cell>
          <cell r="AP19">
            <v>11359</v>
          </cell>
          <cell r="AQ19">
            <v>122353</v>
          </cell>
          <cell r="AR19">
            <v>23367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57180</v>
          </cell>
          <cell r="AX19">
            <v>86</v>
          </cell>
          <cell r="AY19">
            <v>0</v>
          </cell>
          <cell r="AZ19">
            <v>0</v>
          </cell>
        </row>
        <row r="20">
          <cell r="I20" t="str">
            <v>7920</v>
          </cell>
          <cell r="K20" t="str">
            <v>10</v>
          </cell>
          <cell r="N20" t="str">
            <v/>
          </cell>
          <cell r="O20" t="str">
            <v>F</v>
          </cell>
          <cell r="S20">
            <v>315881</v>
          </cell>
          <cell r="Y20">
            <v>0</v>
          </cell>
          <cell r="AB20">
            <v>354409</v>
          </cell>
          <cell r="AC20">
            <v>0</v>
          </cell>
          <cell r="AD20">
            <v>25200</v>
          </cell>
          <cell r="AE20">
            <v>0</v>
          </cell>
          <cell r="AF20">
            <v>0</v>
          </cell>
          <cell r="AG20">
            <v>1061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14718</v>
          </cell>
          <cell r="AN20">
            <v>336474</v>
          </cell>
          <cell r="AO20">
            <v>359197</v>
          </cell>
          <cell r="AP20">
            <v>24708</v>
          </cell>
          <cell r="AQ20">
            <v>145435</v>
          </cell>
          <cell r="AR20">
            <v>50851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60196</v>
          </cell>
          <cell r="AX20">
            <v>344</v>
          </cell>
          <cell r="AY20">
            <v>0</v>
          </cell>
          <cell r="AZ20">
            <v>0</v>
          </cell>
        </row>
        <row r="21">
          <cell r="I21" t="str">
            <v>3100</v>
          </cell>
          <cell r="K21" t="str">
            <v>10</v>
          </cell>
          <cell r="N21" t="str">
            <v>1</v>
          </cell>
          <cell r="O21" t="str">
            <v>D</v>
          </cell>
          <cell r="S21">
            <v>0</v>
          </cell>
          <cell r="Y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I22" t="str">
            <v>7900</v>
          </cell>
          <cell r="K22" t="str">
            <v>30</v>
          </cell>
          <cell r="N22" t="str">
            <v>1</v>
          </cell>
          <cell r="O22" t="str">
            <v>D</v>
          </cell>
          <cell r="S22">
            <v>0</v>
          </cell>
          <cell r="Y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I23" t="str">
            <v>7920</v>
          </cell>
          <cell r="K23" t="str">
            <v>10</v>
          </cell>
          <cell r="N23" t="str">
            <v>1</v>
          </cell>
          <cell r="O23" t="str">
            <v>D</v>
          </cell>
          <cell r="S23">
            <v>0</v>
          </cell>
          <cell r="Y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I24" t="str">
            <v>7920</v>
          </cell>
          <cell r="K24" t="str">
            <v>10</v>
          </cell>
          <cell r="N24" t="str">
            <v>1</v>
          </cell>
          <cell r="O24" t="str">
            <v>D</v>
          </cell>
          <cell r="S24">
            <v>0</v>
          </cell>
          <cell r="Y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I25" t="str">
            <v>7920</v>
          </cell>
          <cell r="K25" t="str">
            <v>10</v>
          </cell>
          <cell r="N25" t="str">
            <v>1</v>
          </cell>
          <cell r="O25" t="str">
            <v>D</v>
          </cell>
          <cell r="S25">
            <v>0</v>
          </cell>
          <cell r="Y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I26" t="str">
            <v>7920</v>
          </cell>
          <cell r="K26" t="str">
            <v>10</v>
          </cell>
          <cell r="N26" t="str">
            <v>1</v>
          </cell>
          <cell r="O26" t="str">
            <v>D</v>
          </cell>
          <cell r="S26">
            <v>0</v>
          </cell>
          <cell r="Y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I27" t="str">
            <v>7920</v>
          </cell>
          <cell r="K27" t="str">
            <v>20</v>
          </cell>
          <cell r="N27" t="str">
            <v>1</v>
          </cell>
          <cell r="O27" t="str">
            <v>D</v>
          </cell>
          <cell r="S27">
            <v>0</v>
          </cell>
          <cell r="Y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I28" t="str">
            <v>7920</v>
          </cell>
          <cell r="K28" t="str">
            <v>20</v>
          </cell>
          <cell r="N28" t="str">
            <v>1</v>
          </cell>
          <cell r="O28" t="str">
            <v>D</v>
          </cell>
          <cell r="S28">
            <v>0</v>
          </cell>
          <cell r="Y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I29" t="str">
            <v>7920</v>
          </cell>
          <cell r="K29" t="str">
            <v>10</v>
          </cell>
          <cell r="N29" t="str">
            <v>1</v>
          </cell>
          <cell r="O29" t="str">
            <v>D</v>
          </cell>
          <cell r="S29">
            <v>0</v>
          </cell>
          <cell r="Y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I30" t="str">
            <v>7920</v>
          </cell>
          <cell r="K30" t="str">
            <v>10</v>
          </cell>
          <cell r="N30" t="str">
            <v>1</v>
          </cell>
          <cell r="O30" t="str">
            <v>D</v>
          </cell>
          <cell r="S30">
            <v>0</v>
          </cell>
          <cell r="Y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I31" t="str">
            <v>7920</v>
          </cell>
          <cell r="K31" t="str">
            <v>20</v>
          </cell>
          <cell r="N31" t="str">
            <v>1</v>
          </cell>
          <cell r="O31" t="str">
            <v>D</v>
          </cell>
          <cell r="S31">
            <v>0</v>
          </cell>
          <cell r="Y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I32" t="str">
            <v>7920</v>
          </cell>
          <cell r="K32" t="str">
            <v>10</v>
          </cell>
          <cell r="N32" t="str">
            <v>1</v>
          </cell>
          <cell r="O32" t="str">
            <v>D</v>
          </cell>
          <cell r="S32">
            <v>0</v>
          </cell>
          <cell r="Y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I33" t="str">
            <v>7920</v>
          </cell>
          <cell r="K33" t="str">
            <v>10</v>
          </cell>
          <cell r="N33" t="str">
            <v>1</v>
          </cell>
          <cell r="O33" t="str">
            <v>D</v>
          </cell>
          <cell r="S33">
            <v>0</v>
          </cell>
          <cell r="Y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I34" t="str">
            <v>7920</v>
          </cell>
          <cell r="K34" t="str">
            <v>20</v>
          </cell>
          <cell r="N34" t="str">
            <v>1</v>
          </cell>
          <cell r="O34" t="str">
            <v>D</v>
          </cell>
          <cell r="S34">
            <v>0</v>
          </cell>
          <cell r="Y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I35" t="str">
            <v>3100</v>
          </cell>
          <cell r="K35" t="str">
            <v>10</v>
          </cell>
          <cell r="N35" t="str">
            <v/>
          </cell>
          <cell r="O35" t="str">
            <v>F</v>
          </cell>
          <cell r="S35">
            <v>45840</v>
          </cell>
          <cell r="Y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35840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I36" t="str">
            <v>7920</v>
          </cell>
          <cell r="K36" t="str">
            <v>10</v>
          </cell>
          <cell r="N36" t="str">
            <v/>
          </cell>
          <cell r="O36" t="str">
            <v>F</v>
          </cell>
          <cell r="S36">
            <v>24945</v>
          </cell>
          <cell r="Y36">
            <v>0</v>
          </cell>
          <cell r="AB36">
            <v>15540</v>
          </cell>
          <cell r="AC36">
            <v>0</v>
          </cell>
          <cell r="AD36">
            <v>1911</v>
          </cell>
          <cell r="AE36">
            <v>0</v>
          </cell>
          <cell r="AF36">
            <v>0</v>
          </cell>
          <cell r="AG36">
            <v>90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810</v>
          </cell>
          <cell r="AN36">
            <v>80268</v>
          </cell>
          <cell r="AO36">
            <v>89772</v>
          </cell>
          <cell r="AP36">
            <v>1359</v>
          </cell>
          <cell r="AQ36">
            <v>30072</v>
          </cell>
          <cell r="AR36">
            <v>2799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15044</v>
          </cell>
          <cell r="AX36">
            <v>0</v>
          </cell>
          <cell r="AY36">
            <v>0</v>
          </cell>
          <cell r="AZ36">
            <v>0</v>
          </cell>
        </row>
        <row r="37">
          <cell r="I37" t="str">
            <v>7920</v>
          </cell>
          <cell r="K37" t="str">
            <v>10</v>
          </cell>
          <cell r="N37" t="str">
            <v/>
          </cell>
          <cell r="O37" t="str">
            <v>F</v>
          </cell>
          <cell r="S37">
            <v>-11844</v>
          </cell>
          <cell r="Y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I38" t="str">
            <v>7920</v>
          </cell>
          <cell r="K38" t="str">
            <v>10</v>
          </cell>
          <cell r="N38" t="str">
            <v/>
          </cell>
          <cell r="O38" t="str">
            <v>F</v>
          </cell>
          <cell r="S38">
            <v>3129578</v>
          </cell>
          <cell r="Y38">
            <v>0</v>
          </cell>
          <cell r="AB38">
            <v>-6</v>
          </cell>
          <cell r="AC38">
            <v>0</v>
          </cell>
          <cell r="AD38">
            <v>1153871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6975</v>
          </cell>
          <cell r="AJ38">
            <v>0</v>
          </cell>
          <cell r="AK38">
            <v>0</v>
          </cell>
          <cell r="AL38">
            <v>0</v>
          </cell>
          <cell r="AM38">
            <v>807047</v>
          </cell>
          <cell r="AN38">
            <v>1008162</v>
          </cell>
          <cell r="AO38">
            <v>0</v>
          </cell>
          <cell r="AP38">
            <v>13111</v>
          </cell>
          <cell r="AQ38">
            <v>424537</v>
          </cell>
          <cell r="AR38">
            <v>292009</v>
          </cell>
          <cell r="AS38">
            <v>6</v>
          </cell>
          <cell r="AT38">
            <v>0</v>
          </cell>
          <cell r="AU38">
            <v>-10431</v>
          </cell>
          <cell r="AV38">
            <v>0</v>
          </cell>
          <cell r="AW38">
            <v>166977</v>
          </cell>
          <cell r="AX38">
            <v>1491</v>
          </cell>
          <cell r="AY38">
            <v>0</v>
          </cell>
          <cell r="AZ38">
            <v>0</v>
          </cell>
        </row>
        <row r="39">
          <cell r="I39" t="str">
            <v>7920</v>
          </cell>
          <cell r="K39" t="str">
            <v>10</v>
          </cell>
          <cell r="N39" t="str">
            <v/>
          </cell>
          <cell r="O39" t="str">
            <v>F</v>
          </cell>
          <cell r="S39">
            <v>-3420</v>
          </cell>
          <cell r="Y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I40" t="str">
            <v>7920</v>
          </cell>
          <cell r="K40" t="str">
            <v>10</v>
          </cell>
          <cell r="N40" t="str">
            <v/>
          </cell>
          <cell r="O40" t="str">
            <v>F</v>
          </cell>
          <cell r="S40">
            <v>504600</v>
          </cell>
          <cell r="Y40">
            <v>0</v>
          </cell>
          <cell r="AB40">
            <v>164119</v>
          </cell>
          <cell r="AC40">
            <v>0</v>
          </cell>
          <cell r="AD40">
            <v>128775</v>
          </cell>
          <cell r="AE40">
            <v>0</v>
          </cell>
          <cell r="AF40">
            <v>0</v>
          </cell>
          <cell r="AG40">
            <v>0</v>
          </cell>
          <cell r="AH40">
            <v>1441</v>
          </cell>
          <cell r="AI40">
            <v>914</v>
          </cell>
          <cell r="AJ40">
            <v>0</v>
          </cell>
          <cell r="AK40">
            <v>0</v>
          </cell>
          <cell r="AL40">
            <v>0</v>
          </cell>
          <cell r="AM40">
            <v>70655</v>
          </cell>
          <cell r="AN40">
            <v>89577</v>
          </cell>
          <cell r="AO40">
            <v>0</v>
          </cell>
          <cell r="AP40">
            <v>33992</v>
          </cell>
          <cell r="AQ40">
            <v>65078</v>
          </cell>
          <cell r="AR40">
            <v>88187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10146</v>
          </cell>
          <cell r="AX40">
            <v>117</v>
          </cell>
          <cell r="AY40">
            <v>0</v>
          </cell>
          <cell r="AZ40">
            <v>0</v>
          </cell>
        </row>
        <row r="41">
          <cell r="I41" t="str">
            <v>7920</v>
          </cell>
          <cell r="K41" t="str">
            <v>10</v>
          </cell>
          <cell r="N41" t="str">
            <v/>
          </cell>
          <cell r="O41" t="str">
            <v>F</v>
          </cell>
          <cell r="S41">
            <v>25131</v>
          </cell>
          <cell r="Y41">
            <v>0</v>
          </cell>
          <cell r="AB41">
            <v>12826</v>
          </cell>
          <cell r="AC41">
            <v>0</v>
          </cell>
          <cell r="AD41">
            <v>4209</v>
          </cell>
          <cell r="AE41">
            <v>0</v>
          </cell>
          <cell r="AF41">
            <v>0</v>
          </cell>
          <cell r="AG41">
            <v>263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576</v>
          </cell>
          <cell r="AN41">
            <v>64176</v>
          </cell>
          <cell r="AO41">
            <v>71883</v>
          </cell>
          <cell r="AP41">
            <v>967</v>
          </cell>
          <cell r="AQ41">
            <v>23920</v>
          </cell>
          <cell r="AR41">
            <v>1992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12046</v>
          </cell>
          <cell r="AX41">
            <v>0</v>
          </cell>
          <cell r="AY41">
            <v>0</v>
          </cell>
          <cell r="AZ41">
            <v>0</v>
          </cell>
        </row>
        <row r="42">
          <cell r="I42" t="str">
            <v>7920</v>
          </cell>
          <cell r="K42" t="str">
            <v>20</v>
          </cell>
          <cell r="N42" t="str">
            <v/>
          </cell>
          <cell r="O42" t="str">
            <v>F</v>
          </cell>
          <cell r="S42">
            <v>-112706</v>
          </cell>
          <cell r="Y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3">
          <cell r="I43" t="str">
            <v>7920</v>
          </cell>
          <cell r="K43" t="str">
            <v>20</v>
          </cell>
          <cell r="N43" t="str">
            <v/>
          </cell>
          <cell r="O43" t="str">
            <v>F</v>
          </cell>
          <cell r="S43">
            <v>26970306</v>
          </cell>
          <cell r="Y43">
            <v>0</v>
          </cell>
          <cell r="AB43">
            <v>36</v>
          </cell>
          <cell r="AC43">
            <v>0</v>
          </cell>
          <cell r="AD43">
            <v>9953181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60186</v>
          </cell>
          <cell r="AJ43">
            <v>0</v>
          </cell>
          <cell r="AK43">
            <v>0</v>
          </cell>
          <cell r="AL43">
            <v>0</v>
          </cell>
          <cell r="AM43">
            <v>6961348</v>
          </cell>
          <cell r="AN43">
            <v>8696043</v>
          </cell>
          <cell r="AO43">
            <v>0</v>
          </cell>
          <cell r="AP43">
            <v>113024</v>
          </cell>
          <cell r="AQ43">
            <v>3661695</v>
          </cell>
          <cell r="AR43">
            <v>2519302</v>
          </cell>
          <cell r="AS43">
            <v>0</v>
          </cell>
          <cell r="AT43">
            <v>0</v>
          </cell>
          <cell r="AU43">
            <v>-89942</v>
          </cell>
          <cell r="AV43">
            <v>0</v>
          </cell>
          <cell r="AW43">
            <v>1440685</v>
          </cell>
          <cell r="AX43">
            <v>12822</v>
          </cell>
          <cell r="AY43">
            <v>0</v>
          </cell>
          <cell r="AZ43">
            <v>0</v>
          </cell>
        </row>
        <row r="44">
          <cell r="I44" t="str">
            <v>7920</v>
          </cell>
          <cell r="K44" t="str">
            <v>20</v>
          </cell>
          <cell r="N44" t="str">
            <v/>
          </cell>
          <cell r="O44" t="str">
            <v>F</v>
          </cell>
          <cell r="S44">
            <v>-684</v>
          </cell>
          <cell r="Y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</row>
        <row r="45">
          <cell r="I45" t="str">
            <v>7920</v>
          </cell>
          <cell r="K45" t="str">
            <v>20</v>
          </cell>
          <cell r="N45" t="str">
            <v/>
          </cell>
          <cell r="O45" t="str">
            <v>F</v>
          </cell>
          <cell r="S45">
            <v>100920</v>
          </cell>
          <cell r="Y45">
            <v>0</v>
          </cell>
          <cell r="AB45">
            <v>32825</v>
          </cell>
          <cell r="AC45">
            <v>0</v>
          </cell>
          <cell r="AD45">
            <v>25755</v>
          </cell>
          <cell r="AE45">
            <v>0</v>
          </cell>
          <cell r="AF45">
            <v>0</v>
          </cell>
          <cell r="AG45">
            <v>0</v>
          </cell>
          <cell r="AH45">
            <v>288</v>
          </cell>
          <cell r="AI45">
            <v>182</v>
          </cell>
          <cell r="AJ45">
            <v>0</v>
          </cell>
          <cell r="AK45">
            <v>0</v>
          </cell>
          <cell r="AL45">
            <v>0</v>
          </cell>
          <cell r="AM45">
            <v>14131</v>
          </cell>
          <cell r="AN45">
            <v>17916</v>
          </cell>
          <cell r="AO45">
            <v>0</v>
          </cell>
          <cell r="AP45">
            <v>6798</v>
          </cell>
          <cell r="AQ45">
            <v>13017</v>
          </cell>
          <cell r="AR45">
            <v>17638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2028</v>
          </cell>
          <cell r="AX45">
            <v>23</v>
          </cell>
          <cell r="AY45">
            <v>0</v>
          </cell>
          <cell r="AZ45">
            <v>0</v>
          </cell>
        </row>
        <row r="46">
          <cell r="I46" t="str">
            <v>7920</v>
          </cell>
          <cell r="K46" t="str">
            <v>10</v>
          </cell>
          <cell r="N46" t="str">
            <v/>
          </cell>
          <cell r="O46" t="str">
            <v>F</v>
          </cell>
          <cell r="S46">
            <v>67634</v>
          </cell>
          <cell r="Y46">
            <v>0</v>
          </cell>
          <cell r="AB46">
            <v>23140</v>
          </cell>
          <cell r="AC46">
            <v>0</v>
          </cell>
          <cell r="AD46">
            <v>21203</v>
          </cell>
          <cell r="AE46">
            <v>0</v>
          </cell>
          <cell r="AF46">
            <v>0</v>
          </cell>
          <cell r="AG46">
            <v>0</v>
          </cell>
          <cell r="AH46">
            <v>62</v>
          </cell>
          <cell r="AI46">
            <v>160</v>
          </cell>
          <cell r="AJ46">
            <v>0</v>
          </cell>
          <cell r="AK46">
            <v>0</v>
          </cell>
          <cell r="AL46">
            <v>0</v>
          </cell>
          <cell r="AM46">
            <v>23903</v>
          </cell>
          <cell r="AN46">
            <v>29353</v>
          </cell>
          <cell r="AO46">
            <v>0</v>
          </cell>
          <cell r="AP46">
            <v>2598</v>
          </cell>
          <cell r="AQ46">
            <v>13033</v>
          </cell>
          <cell r="AR46">
            <v>12319</v>
          </cell>
          <cell r="AS46">
            <v>0</v>
          </cell>
          <cell r="AT46">
            <v>0</v>
          </cell>
          <cell r="AU46">
            <v>0</v>
          </cell>
          <cell r="AV46">
            <v>673</v>
          </cell>
          <cell r="AW46">
            <v>4169</v>
          </cell>
          <cell r="AX46">
            <v>31</v>
          </cell>
          <cell r="AY46">
            <v>0</v>
          </cell>
          <cell r="AZ46">
            <v>0</v>
          </cell>
        </row>
        <row r="47">
          <cell r="I47" t="str">
            <v>7920</v>
          </cell>
          <cell r="K47" t="str">
            <v>10</v>
          </cell>
          <cell r="N47" t="str">
            <v/>
          </cell>
          <cell r="O47" t="str">
            <v>F</v>
          </cell>
          <cell r="S47">
            <v>-72198</v>
          </cell>
          <cell r="Y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</row>
        <row r="48">
          <cell r="I48" t="str">
            <v>7920</v>
          </cell>
          <cell r="K48" t="str">
            <v>10</v>
          </cell>
          <cell r="N48" t="str">
            <v/>
          </cell>
          <cell r="O48" t="str">
            <v>F</v>
          </cell>
          <cell r="S48">
            <v>14390814</v>
          </cell>
          <cell r="Y48">
            <v>0</v>
          </cell>
          <cell r="AB48">
            <v>18</v>
          </cell>
          <cell r="AC48">
            <v>0</v>
          </cell>
          <cell r="AD48">
            <v>5409342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44061</v>
          </cell>
          <cell r="AJ48">
            <v>0</v>
          </cell>
          <cell r="AK48">
            <v>0</v>
          </cell>
          <cell r="AL48">
            <v>0</v>
          </cell>
          <cell r="AM48">
            <v>1590586</v>
          </cell>
          <cell r="AN48">
            <v>1998301</v>
          </cell>
          <cell r="AO48">
            <v>0</v>
          </cell>
          <cell r="AP48">
            <v>146051</v>
          </cell>
          <cell r="AQ48">
            <v>974928</v>
          </cell>
          <cell r="AR48">
            <v>1174395</v>
          </cell>
          <cell r="AS48">
            <v>5</v>
          </cell>
          <cell r="AT48">
            <v>0</v>
          </cell>
          <cell r="AU48">
            <v>-54634</v>
          </cell>
          <cell r="AV48">
            <v>6147523</v>
          </cell>
          <cell r="AW48">
            <v>561273</v>
          </cell>
          <cell r="AX48">
            <v>5519</v>
          </cell>
          <cell r="AY48">
            <v>0</v>
          </cell>
          <cell r="AZ48">
            <v>0</v>
          </cell>
        </row>
        <row r="49">
          <cell r="I49" t="str">
            <v>7920</v>
          </cell>
          <cell r="K49" t="str">
            <v>20</v>
          </cell>
          <cell r="N49" t="str">
            <v/>
          </cell>
          <cell r="O49" t="str">
            <v>F</v>
          </cell>
          <cell r="S49">
            <v>-19404</v>
          </cell>
          <cell r="Y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</row>
        <row r="50">
          <cell r="I50" t="str">
            <v>7920</v>
          </cell>
          <cell r="K50" t="str">
            <v>20</v>
          </cell>
          <cell r="N50" t="str">
            <v/>
          </cell>
          <cell r="O50" t="str">
            <v>F</v>
          </cell>
          <cell r="S50">
            <v>3774540</v>
          </cell>
          <cell r="Y50">
            <v>0</v>
          </cell>
          <cell r="AB50">
            <v>2</v>
          </cell>
          <cell r="AC50">
            <v>0</v>
          </cell>
          <cell r="AD50">
            <v>1419143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11564</v>
          </cell>
          <cell r="AJ50">
            <v>0</v>
          </cell>
          <cell r="AK50">
            <v>0</v>
          </cell>
          <cell r="AL50">
            <v>0</v>
          </cell>
          <cell r="AM50">
            <v>417316</v>
          </cell>
          <cell r="AN50">
            <v>524286</v>
          </cell>
          <cell r="AO50">
            <v>0</v>
          </cell>
          <cell r="AP50">
            <v>38316</v>
          </cell>
          <cell r="AQ50">
            <v>255780</v>
          </cell>
          <cell r="AR50">
            <v>308099</v>
          </cell>
          <cell r="AS50">
            <v>0</v>
          </cell>
          <cell r="AT50">
            <v>0</v>
          </cell>
          <cell r="AU50">
            <v>-14336</v>
          </cell>
          <cell r="AV50">
            <v>1612832</v>
          </cell>
          <cell r="AW50">
            <v>147253</v>
          </cell>
          <cell r="AX50">
            <v>1450</v>
          </cell>
          <cell r="AY50">
            <v>0</v>
          </cell>
          <cell r="AZ50">
            <v>0</v>
          </cell>
        </row>
        <row r="51">
          <cell r="I51" t="str">
            <v>7920</v>
          </cell>
          <cell r="K51" t="str">
            <v>10</v>
          </cell>
          <cell r="N51" t="str">
            <v/>
          </cell>
          <cell r="O51" t="str">
            <v>F</v>
          </cell>
          <cell r="S51">
            <v>464128</v>
          </cell>
          <cell r="Y51">
            <v>0</v>
          </cell>
          <cell r="AB51">
            <v>0</v>
          </cell>
          <cell r="AC51">
            <v>0</v>
          </cell>
          <cell r="AD51">
            <v>179456</v>
          </cell>
          <cell r="AE51">
            <v>0</v>
          </cell>
          <cell r="AF51">
            <v>0</v>
          </cell>
          <cell r="AG51">
            <v>1472</v>
          </cell>
          <cell r="AH51">
            <v>0</v>
          </cell>
          <cell r="AI51">
            <v>1452</v>
          </cell>
          <cell r="AJ51">
            <v>0</v>
          </cell>
          <cell r="AK51">
            <v>0</v>
          </cell>
          <cell r="AL51">
            <v>0</v>
          </cell>
          <cell r="AM51">
            <v>226469</v>
          </cell>
          <cell r="AN51">
            <v>276732</v>
          </cell>
          <cell r="AO51">
            <v>0</v>
          </cell>
          <cell r="AP51">
            <v>670</v>
          </cell>
          <cell r="AQ51">
            <v>98892</v>
          </cell>
          <cell r="AR51">
            <v>59761</v>
          </cell>
          <cell r="AS51">
            <v>0</v>
          </cell>
          <cell r="AT51">
            <v>0</v>
          </cell>
          <cell r="AU51">
            <v>0</v>
          </cell>
          <cell r="AV51">
            <v>45601</v>
          </cell>
          <cell r="AW51">
            <v>35055</v>
          </cell>
          <cell r="AX51">
            <v>265</v>
          </cell>
          <cell r="AY51">
            <v>0</v>
          </cell>
          <cell r="AZ51">
            <v>0</v>
          </cell>
        </row>
        <row r="52">
          <cell r="I52" t="str">
            <v>7920</v>
          </cell>
          <cell r="K52" t="str">
            <v>10</v>
          </cell>
          <cell r="N52" t="str">
            <v/>
          </cell>
          <cell r="O52" t="str">
            <v>F</v>
          </cell>
          <cell r="S52">
            <v>-182910</v>
          </cell>
          <cell r="Y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</row>
        <row r="53">
          <cell r="I53" t="str">
            <v>7920</v>
          </cell>
          <cell r="K53" t="str">
            <v>10</v>
          </cell>
          <cell r="N53" t="str">
            <v/>
          </cell>
          <cell r="O53" t="str">
            <v>F</v>
          </cell>
          <cell r="S53">
            <v>41374610</v>
          </cell>
          <cell r="Y53">
            <v>0</v>
          </cell>
          <cell r="AB53">
            <v>29</v>
          </cell>
          <cell r="AC53">
            <v>0</v>
          </cell>
          <cell r="AD53">
            <v>16414774</v>
          </cell>
          <cell r="AE53">
            <v>0</v>
          </cell>
          <cell r="AF53">
            <v>0</v>
          </cell>
          <cell r="AG53">
            <v>65365</v>
          </cell>
          <cell r="AH53">
            <v>0</v>
          </cell>
          <cell r="AI53">
            <v>129176</v>
          </cell>
          <cell r="AJ53">
            <v>0</v>
          </cell>
          <cell r="AK53">
            <v>0</v>
          </cell>
          <cell r="AL53">
            <v>0</v>
          </cell>
          <cell r="AM53">
            <v>24947462</v>
          </cell>
          <cell r="AN53">
            <v>30756070</v>
          </cell>
          <cell r="AO53">
            <v>0</v>
          </cell>
          <cell r="AP53">
            <v>110871</v>
          </cell>
          <cell r="AQ53">
            <v>11700889</v>
          </cell>
          <cell r="AR53">
            <v>6281039</v>
          </cell>
          <cell r="AS53">
            <v>856</v>
          </cell>
          <cell r="AT53">
            <v>0</v>
          </cell>
          <cell r="AU53">
            <v>-87092</v>
          </cell>
          <cell r="AV53">
            <v>0</v>
          </cell>
          <cell r="AW53">
            <v>3719688</v>
          </cell>
          <cell r="AX53">
            <v>28254</v>
          </cell>
          <cell r="AY53">
            <v>0</v>
          </cell>
          <cell r="AZ53">
            <v>0</v>
          </cell>
        </row>
        <row r="54">
          <cell r="I54" t="str">
            <v>7920</v>
          </cell>
          <cell r="K54" t="str">
            <v>20</v>
          </cell>
          <cell r="N54" t="str">
            <v/>
          </cell>
          <cell r="O54" t="str">
            <v>F</v>
          </cell>
          <cell r="S54">
            <v>-27365</v>
          </cell>
          <cell r="Y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I55" t="str">
            <v>7920</v>
          </cell>
          <cell r="K55" t="str">
            <v>20</v>
          </cell>
          <cell r="N55" t="str">
            <v/>
          </cell>
          <cell r="O55" t="str">
            <v>F</v>
          </cell>
          <cell r="S55">
            <v>6117551</v>
          </cell>
          <cell r="Y55">
            <v>0</v>
          </cell>
          <cell r="AB55">
            <v>0</v>
          </cell>
          <cell r="AC55">
            <v>0</v>
          </cell>
          <cell r="AD55">
            <v>2427339</v>
          </cell>
          <cell r="AE55">
            <v>0</v>
          </cell>
          <cell r="AF55">
            <v>0</v>
          </cell>
          <cell r="AG55">
            <v>9659</v>
          </cell>
          <cell r="AH55">
            <v>0</v>
          </cell>
          <cell r="AI55">
            <v>19103</v>
          </cell>
          <cell r="AJ55">
            <v>0</v>
          </cell>
          <cell r="AK55">
            <v>0</v>
          </cell>
          <cell r="AL55">
            <v>0</v>
          </cell>
          <cell r="AM55">
            <v>3689108</v>
          </cell>
          <cell r="AN55">
            <v>4548065</v>
          </cell>
          <cell r="AO55">
            <v>0</v>
          </cell>
          <cell r="AP55">
            <v>16396</v>
          </cell>
          <cell r="AQ55">
            <v>1730269</v>
          </cell>
          <cell r="AR55">
            <v>928810</v>
          </cell>
          <cell r="AS55">
            <v>125</v>
          </cell>
          <cell r="AT55">
            <v>0</v>
          </cell>
          <cell r="AU55">
            <v>-12877</v>
          </cell>
          <cell r="AV55">
            <v>0</v>
          </cell>
          <cell r="AW55">
            <v>550048</v>
          </cell>
          <cell r="AX55">
            <v>4179</v>
          </cell>
          <cell r="AY55">
            <v>0</v>
          </cell>
          <cell r="AZ55">
            <v>0</v>
          </cell>
        </row>
        <row r="56">
          <cell r="I56" t="str">
            <v>3100</v>
          </cell>
          <cell r="K56" t="str">
            <v>10</v>
          </cell>
          <cell r="N56" t="str">
            <v>1</v>
          </cell>
          <cell r="O56" t="str">
            <v>D</v>
          </cell>
          <cell r="S56">
            <v>0</v>
          </cell>
          <cell r="Y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</row>
        <row r="57">
          <cell r="I57" t="str">
            <v>3100</v>
          </cell>
          <cell r="K57" t="str">
            <v>10</v>
          </cell>
          <cell r="N57" t="str">
            <v>1</v>
          </cell>
          <cell r="O57" t="str">
            <v>D</v>
          </cell>
          <cell r="S57">
            <v>0</v>
          </cell>
          <cell r="Y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I58" t="str">
            <v>3100</v>
          </cell>
          <cell r="K58" t="str">
            <v>10</v>
          </cell>
          <cell r="N58" t="str">
            <v>1</v>
          </cell>
          <cell r="O58" t="str">
            <v>D</v>
          </cell>
          <cell r="S58">
            <v>0</v>
          </cell>
          <cell r="Y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</row>
        <row r="59">
          <cell r="I59" t="str">
            <v>3100</v>
          </cell>
          <cell r="K59" t="str">
            <v>10</v>
          </cell>
          <cell r="N59" t="str">
            <v>1</v>
          </cell>
          <cell r="O59" t="str">
            <v>D</v>
          </cell>
          <cell r="S59">
            <v>0</v>
          </cell>
          <cell r="Y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</row>
        <row r="60">
          <cell r="I60" t="str">
            <v>3100</v>
          </cell>
          <cell r="K60" t="str">
            <v>10</v>
          </cell>
          <cell r="N60" t="str">
            <v>1</v>
          </cell>
          <cell r="O60" t="str">
            <v>D</v>
          </cell>
          <cell r="S60">
            <v>0</v>
          </cell>
          <cell r="Y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1">
          <cell r="I61" t="str">
            <v>3100</v>
          </cell>
          <cell r="K61" t="str">
            <v>10</v>
          </cell>
          <cell r="N61" t="str">
            <v>1</v>
          </cell>
          <cell r="O61" t="str">
            <v>D</v>
          </cell>
          <cell r="S61">
            <v>0</v>
          </cell>
          <cell r="Y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</row>
        <row r="62">
          <cell r="I62" t="str">
            <v>3100</v>
          </cell>
          <cell r="K62" t="str">
            <v>10</v>
          </cell>
          <cell r="N62" t="str">
            <v>1</v>
          </cell>
          <cell r="O62" t="str">
            <v>D</v>
          </cell>
          <cell r="S62">
            <v>0</v>
          </cell>
          <cell r="Y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</row>
        <row r="63">
          <cell r="I63" t="str">
            <v>3100</v>
          </cell>
          <cell r="K63" t="str">
            <v>10</v>
          </cell>
          <cell r="N63" t="str">
            <v>1</v>
          </cell>
          <cell r="O63" t="str">
            <v>D</v>
          </cell>
          <cell r="S63">
            <v>0</v>
          </cell>
          <cell r="Y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</row>
        <row r="64">
          <cell r="I64" t="str">
            <v>3100</v>
          </cell>
          <cell r="K64" t="str">
            <v>30</v>
          </cell>
          <cell r="N64" t="str">
            <v>1</v>
          </cell>
          <cell r="O64" t="str">
            <v>D</v>
          </cell>
          <cell r="S64">
            <v>0</v>
          </cell>
          <cell r="Y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5">
          <cell r="I65" t="str">
            <v>3100</v>
          </cell>
          <cell r="K65" t="str">
            <v>30</v>
          </cell>
          <cell r="N65" t="str">
            <v>1</v>
          </cell>
          <cell r="O65" t="str">
            <v>D</v>
          </cell>
          <cell r="S65">
            <v>0</v>
          </cell>
          <cell r="Y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</row>
        <row r="66">
          <cell r="I66" t="str">
            <v>3100</v>
          </cell>
          <cell r="K66" t="str">
            <v>30</v>
          </cell>
          <cell r="N66" t="str">
            <v>1</v>
          </cell>
          <cell r="O66" t="str">
            <v>D</v>
          </cell>
          <cell r="S66">
            <v>0</v>
          </cell>
          <cell r="Y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</row>
        <row r="67">
          <cell r="I67" t="str">
            <v>3100</v>
          </cell>
          <cell r="K67" t="str">
            <v>30</v>
          </cell>
          <cell r="N67" t="str">
            <v>1</v>
          </cell>
          <cell r="O67" t="str">
            <v>D</v>
          </cell>
          <cell r="S67">
            <v>0</v>
          </cell>
          <cell r="Y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</row>
        <row r="68">
          <cell r="I68" t="str">
            <v>7900</v>
          </cell>
          <cell r="K68" t="str">
            <v>10</v>
          </cell>
          <cell r="N68" t="str">
            <v>1</v>
          </cell>
          <cell r="O68" t="str">
            <v>D</v>
          </cell>
          <cell r="S68">
            <v>0</v>
          </cell>
          <cell r="Y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9">
          <cell r="I69" t="str">
            <v>7900</v>
          </cell>
          <cell r="K69" t="str">
            <v>10</v>
          </cell>
          <cell r="N69" t="str">
            <v>1</v>
          </cell>
          <cell r="O69" t="str">
            <v>D</v>
          </cell>
          <cell r="S69">
            <v>0</v>
          </cell>
          <cell r="Y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</row>
        <row r="70">
          <cell r="I70" t="str">
            <v>7900</v>
          </cell>
          <cell r="K70" t="str">
            <v>10</v>
          </cell>
          <cell r="N70" t="str">
            <v>1</v>
          </cell>
          <cell r="O70" t="str">
            <v>D</v>
          </cell>
          <cell r="S70">
            <v>0</v>
          </cell>
          <cell r="Y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1">
          <cell r="I71" t="str">
            <v>7900</v>
          </cell>
          <cell r="K71" t="str">
            <v>10</v>
          </cell>
          <cell r="N71" t="str">
            <v>1</v>
          </cell>
          <cell r="O71" t="str">
            <v>D</v>
          </cell>
          <cell r="S71">
            <v>0</v>
          </cell>
          <cell r="Y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2">
          <cell r="I72" t="str">
            <v>7900</v>
          </cell>
          <cell r="K72" t="str">
            <v>10</v>
          </cell>
          <cell r="N72" t="str">
            <v>1</v>
          </cell>
          <cell r="O72" t="str">
            <v>D</v>
          </cell>
          <cell r="S72">
            <v>0</v>
          </cell>
          <cell r="Y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</row>
        <row r="73">
          <cell r="I73" t="str">
            <v>7900</v>
          </cell>
          <cell r="K73" t="str">
            <v>10</v>
          </cell>
          <cell r="N73" t="str">
            <v>1</v>
          </cell>
          <cell r="O73" t="str">
            <v>D</v>
          </cell>
          <cell r="S73">
            <v>0</v>
          </cell>
          <cell r="Y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4">
          <cell r="I74" t="str">
            <v>7900</v>
          </cell>
          <cell r="K74" t="str">
            <v>10</v>
          </cell>
          <cell r="N74" t="str">
            <v>1</v>
          </cell>
          <cell r="O74" t="str">
            <v>D</v>
          </cell>
          <cell r="S74">
            <v>0</v>
          </cell>
          <cell r="Y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5">
          <cell r="I75" t="str">
            <v>7900</v>
          </cell>
          <cell r="K75" t="str">
            <v>10</v>
          </cell>
          <cell r="N75" t="str">
            <v>1</v>
          </cell>
          <cell r="O75" t="str">
            <v>D</v>
          </cell>
          <cell r="S75">
            <v>0</v>
          </cell>
          <cell r="Y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</row>
        <row r="76">
          <cell r="I76" t="str">
            <v>7900</v>
          </cell>
          <cell r="K76" t="str">
            <v>30</v>
          </cell>
          <cell r="N76" t="str">
            <v>1</v>
          </cell>
          <cell r="O76" t="str">
            <v>D</v>
          </cell>
          <cell r="S76">
            <v>0</v>
          </cell>
          <cell r="Y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7">
          <cell r="I77" t="str">
            <v>7920</v>
          </cell>
          <cell r="K77" t="str">
            <v>10</v>
          </cell>
          <cell r="N77" t="str">
            <v>1</v>
          </cell>
          <cell r="O77" t="str">
            <v>D</v>
          </cell>
          <cell r="S77">
            <v>0</v>
          </cell>
          <cell r="Y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</row>
        <row r="78">
          <cell r="I78" t="str">
            <v>3100</v>
          </cell>
          <cell r="K78" t="str">
            <v>10</v>
          </cell>
          <cell r="N78" t="str">
            <v/>
          </cell>
          <cell r="O78" t="str">
            <v>F</v>
          </cell>
          <cell r="S78">
            <v>10504340</v>
          </cell>
          <cell r="Y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7295356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</row>
        <row r="79">
          <cell r="I79" t="str">
            <v>3100</v>
          </cell>
          <cell r="K79" t="str">
            <v>10</v>
          </cell>
          <cell r="N79" t="str">
            <v/>
          </cell>
          <cell r="O79" t="str">
            <v>F</v>
          </cell>
          <cell r="S79">
            <v>32607600</v>
          </cell>
          <cell r="Y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18036300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80">
          <cell r="I80" t="str">
            <v>3100</v>
          </cell>
          <cell r="K80" t="str">
            <v>10</v>
          </cell>
          <cell r="N80" t="str">
            <v>1</v>
          </cell>
          <cell r="O80" t="str">
            <v>I</v>
          </cell>
          <cell r="S80">
            <v>0</v>
          </cell>
          <cell r="Y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1">
          <cell r="I81" t="str">
            <v>3100</v>
          </cell>
          <cell r="K81" t="str">
            <v>10</v>
          </cell>
          <cell r="N81" t="str">
            <v/>
          </cell>
          <cell r="O81" t="str">
            <v>F</v>
          </cell>
          <cell r="S81">
            <v>10931613</v>
          </cell>
          <cell r="Y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8835824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</row>
        <row r="82">
          <cell r="I82" t="str">
            <v>3100</v>
          </cell>
          <cell r="K82" t="str">
            <v>10</v>
          </cell>
          <cell r="N82" t="str">
            <v/>
          </cell>
          <cell r="O82" t="str">
            <v>F</v>
          </cell>
          <cell r="S82">
            <v>371990200</v>
          </cell>
          <cell r="Y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252599355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3">
          <cell r="I83" t="str">
            <v>3100</v>
          </cell>
          <cell r="K83" t="str">
            <v>10</v>
          </cell>
          <cell r="N83" t="str">
            <v>1</v>
          </cell>
          <cell r="O83" t="str">
            <v>I</v>
          </cell>
          <cell r="S83">
            <v>0</v>
          </cell>
          <cell r="Y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4">
          <cell r="I84" t="str">
            <v>3100</v>
          </cell>
          <cell r="K84" t="str">
            <v>10</v>
          </cell>
          <cell r="N84" t="str">
            <v/>
          </cell>
          <cell r="O84" t="str">
            <v>F</v>
          </cell>
          <cell r="S84">
            <v>20251700</v>
          </cell>
          <cell r="Y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16024668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5">
          <cell r="I85" t="str">
            <v>3100</v>
          </cell>
          <cell r="K85" t="str">
            <v>10</v>
          </cell>
          <cell r="N85" t="str">
            <v/>
          </cell>
          <cell r="O85" t="str">
            <v>F</v>
          </cell>
          <cell r="S85">
            <v>89202900</v>
          </cell>
          <cell r="Y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66269662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6">
          <cell r="I86" t="str">
            <v>3100</v>
          </cell>
          <cell r="K86" t="str">
            <v>10</v>
          </cell>
          <cell r="N86" t="str">
            <v>1</v>
          </cell>
          <cell r="O86" t="str">
            <v>I</v>
          </cell>
          <cell r="S86">
            <v>0</v>
          </cell>
          <cell r="Y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7">
          <cell r="I87" t="str">
            <v>3100</v>
          </cell>
          <cell r="K87" t="str">
            <v>10</v>
          </cell>
          <cell r="N87" t="str">
            <v/>
          </cell>
          <cell r="O87" t="str">
            <v>F</v>
          </cell>
          <cell r="S87">
            <v>37511340</v>
          </cell>
          <cell r="Y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34290729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8">
          <cell r="I88" t="str">
            <v>3100</v>
          </cell>
          <cell r="K88" t="str">
            <v>10</v>
          </cell>
          <cell r="N88" t="str">
            <v>1</v>
          </cell>
          <cell r="O88" t="str">
            <v>I</v>
          </cell>
          <cell r="S88">
            <v>0</v>
          </cell>
          <cell r="Y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9">
          <cell r="I89" t="str">
            <v>3100</v>
          </cell>
          <cell r="K89" t="str">
            <v>10</v>
          </cell>
          <cell r="N89" t="str">
            <v/>
          </cell>
          <cell r="O89" t="str">
            <v>F</v>
          </cell>
          <cell r="S89">
            <v>78775200</v>
          </cell>
          <cell r="Y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41598600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90">
          <cell r="I90" t="str">
            <v>3100</v>
          </cell>
          <cell r="K90" t="str">
            <v>10</v>
          </cell>
          <cell r="N90" t="str">
            <v/>
          </cell>
          <cell r="O90" t="str">
            <v>F</v>
          </cell>
          <cell r="S90">
            <v>158397200</v>
          </cell>
          <cell r="Y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97387200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1">
          <cell r="I91" t="str">
            <v>3100</v>
          </cell>
          <cell r="K91" t="str">
            <v>10</v>
          </cell>
          <cell r="N91" t="str">
            <v/>
          </cell>
          <cell r="O91" t="str">
            <v>F</v>
          </cell>
          <cell r="S91">
            <v>4258820</v>
          </cell>
          <cell r="Y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2719207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I92" t="str">
            <v>3100</v>
          </cell>
          <cell r="K92" t="str">
            <v>10</v>
          </cell>
          <cell r="N92" t="str">
            <v/>
          </cell>
          <cell r="O92" t="str">
            <v>F</v>
          </cell>
          <cell r="S92">
            <v>29719750</v>
          </cell>
          <cell r="Y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20115800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3">
          <cell r="I93" t="str">
            <v>3100</v>
          </cell>
          <cell r="K93" t="str">
            <v>30</v>
          </cell>
          <cell r="N93" t="str">
            <v>1</v>
          </cell>
          <cell r="O93" t="str">
            <v>I</v>
          </cell>
          <cell r="S93">
            <v>0</v>
          </cell>
          <cell r="Y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4">
          <cell r="I94" t="str">
            <v>3100</v>
          </cell>
          <cell r="K94" t="str">
            <v>30</v>
          </cell>
          <cell r="N94" t="str">
            <v>1</v>
          </cell>
          <cell r="O94" t="str">
            <v>I</v>
          </cell>
          <cell r="S94">
            <v>0</v>
          </cell>
          <cell r="Y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5">
          <cell r="I95" t="str">
            <v>3100</v>
          </cell>
          <cell r="K95" t="str">
            <v>30</v>
          </cell>
          <cell r="N95" t="str">
            <v>1</v>
          </cell>
          <cell r="O95" t="str">
            <v>I</v>
          </cell>
          <cell r="S95">
            <v>0</v>
          </cell>
          <cell r="Y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I96" t="str">
            <v>7900</v>
          </cell>
          <cell r="K96" t="str">
            <v>10</v>
          </cell>
          <cell r="N96" t="str">
            <v/>
          </cell>
          <cell r="O96" t="str">
            <v>F</v>
          </cell>
          <cell r="S96">
            <v>158615275</v>
          </cell>
          <cell r="Y96">
            <v>0</v>
          </cell>
          <cell r="AB96">
            <v>136487829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16832209</v>
          </cell>
          <cell r="AN96">
            <v>26596336</v>
          </cell>
          <cell r="AO96">
            <v>0</v>
          </cell>
          <cell r="AP96">
            <v>443129</v>
          </cell>
          <cell r="AQ96">
            <v>10547301</v>
          </cell>
          <cell r="AR96">
            <v>3563192</v>
          </cell>
          <cell r="AS96">
            <v>28</v>
          </cell>
          <cell r="AT96">
            <v>0</v>
          </cell>
          <cell r="AU96">
            <v>-419383</v>
          </cell>
          <cell r="AV96">
            <v>4857979</v>
          </cell>
          <cell r="AW96">
            <v>1550508</v>
          </cell>
          <cell r="AX96">
            <v>94107</v>
          </cell>
          <cell r="AY96">
            <v>0</v>
          </cell>
          <cell r="AZ96">
            <v>0</v>
          </cell>
        </row>
        <row r="97">
          <cell r="I97" t="str">
            <v>7900</v>
          </cell>
          <cell r="K97" t="str">
            <v>10</v>
          </cell>
          <cell r="N97" t="str">
            <v/>
          </cell>
          <cell r="O97" t="str">
            <v>F</v>
          </cell>
          <cell r="S97">
            <v>41290080</v>
          </cell>
          <cell r="Y97">
            <v>0</v>
          </cell>
          <cell r="AB97">
            <v>38245856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2375307</v>
          </cell>
          <cell r="AN97">
            <v>3955957</v>
          </cell>
          <cell r="AO97">
            <v>0</v>
          </cell>
          <cell r="AP97">
            <v>618218</v>
          </cell>
          <cell r="AQ97">
            <v>2462648</v>
          </cell>
          <cell r="AR97">
            <v>1845328</v>
          </cell>
          <cell r="AS97">
            <v>5532</v>
          </cell>
          <cell r="AT97">
            <v>0</v>
          </cell>
          <cell r="AU97">
            <v>-270335</v>
          </cell>
          <cell r="AV97">
            <v>0</v>
          </cell>
          <cell r="AW97">
            <v>327236</v>
          </cell>
          <cell r="AX97">
            <v>21503</v>
          </cell>
          <cell r="AY97">
            <v>0</v>
          </cell>
          <cell r="AZ97">
            <v>0</v>
          </cell>
        </row>
        <row r="98">
          <cell r="I98" t="str">
            <v>7900</v>
          </cell>
          <cell r="K98" t="str">
            <v>10</v>
          </cell>
          <cell r="N98" t="str">
            <v/>
          </cell>
          <cell r="O98" t="str">
            <v>F</v>
          </cell>
          <cell r="S98">
            <v>149233947</v>
          </cell>
          <cell r="Y98">
            <v>0</v>
          </cell>
          <cell r="AB98">
            <v>129463818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8955926</v>
          </cell>
          <cell r="AN98">
            <v>14824623</v>
          </cell>
          <cell r="AO98">
            <v>0</v>
          </cell>
          <cell r="AP98">
            <v>1500883</v>
          </cell>
          <cell r="AQ98">
            <v>8099091</v>
          </cell>
          <cell r="AR98">
            <v>5248006</v>
          </cell>
          <cell r="AS98">
            <v>8752</v>
          </cell>
          <cell r="AT98">
            <v>0</v>
          </cell>
          <cell r="AU98">
            <v>-887600</v>
          </cell>
          <cell r="AV98">
            <v>0</v>
          </cell>
          <cell r="AW98">
            <v>1210936</v>
          </cell>
          <cell r="AX98">
            <v>82453</v>
          </cell>
          <cell r="AY98">
            <v>0</v>
          </cell>
          <cell r="AZ98">
            <v>0</v>
          </cell>
        </row>
        <row r="99">
          <cell r="I99" t="str">
            <v>7900</v>
          </cell>
          <cell r="K99" t="str">
            <v>10</v>
          </cell>
          <cell r="N99" t="str">
            <v/>
          </cell>
          <cell r="O99" t="str">
            <v>F</v>
          </cell>
          <cell r="S99">
            <v>5838635</v>
          </cell>
          <cell r="Y99">
            <v>0</v>
          </cell>
          <cell r="AB99">
            <v>4921435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374802</v>
          </cell>
          <cell r="AN99">
            <v>616708</v>
          </cell>
          <cell r="AO99">
            <v>0</v>
          </cell>
          <cell r="AP99">
            <v>49080</v>
          </cell>
          <cell r="AQ99">
            <v>315694</v>
          </cell>
          <cell r="AR99">
            <v>191556</v>
          </cell>
          <cell r="AS99">
            <v>3</v>
          </cell>
          <cell r="AT99">
            <v>0</v>
          </cell>
          <cell r="AU99">
            <v>-37441</v>
          </cell>
          <cell r="AV99">
            <v>100381</v>
          </cell>
          <cell r="AW99">
            <v>50807</v>
          </cell>
          <cell r="AX99">
            <v>3243</v>
          </cell>
          <cell r="AY99">
            <v>0</v>
          </cell>
          <cell r="AZ99">
            <v>0</v>
          </cell>
        </row>
        <row r="100">
          <cell r="I100" t="str">
            <v>7900</v>
          </cell>
          <cell r="K100" t="str">
            <v>10</v>
          </cell>
          <cell r="N100" t="str">
            <v/>
          </cell>
          <cell r="O100" t="str">
            <v>F</v>
          </cell>
          <cell r="S100">
            <v>26675100</v>
          </cell>
          <cell r="Y100">
            <v>0</v>
          </cell>
          <cell r="AB100">
            <v>22985129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1534855</v>
          </cell>
          <cell r="AN100">
            <v>2542559</v>
          </cell>
          <cell r="AO100">
            <v>0</v>
          </cell>
          <cell r="AP100">
            <v>149239</v>
          </cell>
          <cell r="AQ100">
            <v>1278497</v>
          </cell>
          <cell r="AR100">
            <v>682440</v>
          </cell>
          <cell r="AS100">
            <v>11</v>
          </cell>
          <cell r="AT100">
            <v>0</v>
          </cell>
          <cell r="AU100">
            <v>-176228</v>
          </cell>
          <cell r="AV100">
            <v>0</v>
          </cell>
          <cell r="AW100">
            <v>219945</v>
          </cell>
          <cell r="AX100">
            <v>15710</v>
          </cell>
          <cell r="AY100">
            <v>0</v>
          </cell>
          <cell r="AZ100">
            <v>0</v>
          </cell>
        </row>
        <row r="101">
          <cell r="I101" t="str">
            <v>7900</v>
          </cell>
          <cell r="K101" t="str">
            <v>10</v>
          </cell>
          <cell r="N101" t="str">
            <v/>
          </cell>
          <cell r="O101" t="str">
            <v>F</v>
          </cell>
          <cell r="S101">
            <v>3988800</v>
          </cell>
          <cell r="Y101">
            <v>0</v>
          </cell>
          <cell r="AB101">
            <v>2227834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100443</v>
          </cell>
          <cell r="AN101">
            <v>215724</v>
          </cell>
          <cell r="AO101">
            <v>0</v>
          </cell>
          <cell r="AP101">
            <v>4986</v>
          </cell>
          <cell r="AQ101">
            <v>180498</v>
          </cell>
          <cell r="AR101">
            <v>49923</v>
          </cell>
          <cell r="AS101">
            <v>4</v>
          </cell>
          <cell r="AT101">
            <v>0</v>
          </cell>
          <cell r="AU101">
            <v>-63087</v>
          </cell>
          <cell r="AV101">
            <v>0</v>
          </cell>
          <cell r="AW101">
            <v>32915</v>
          </cell>
          <cell r="AX101">
            <v>2221</v>
          </cell>
          <cell r="AY101">
            <v>0</v>
          </cell>
          <cell r="AZ101">
            <v>0</v>
          </cell>
        </row>
        <row r="102">
          <cell r="I102" t="str">
            <v>7900</v>
          </cell>
          <cell r="K102" t="str">
            <v>10</v>
          </cell>
          <cell r="N102" t="str">
            <v/>
          </cell>
          <cell r="O102" t="str">
            <v>F</v>
          </cell>
          <cell r="S102">
            <v>72980906</v>
          </cell>
          <cell r="Y102">
            <v>0</v>
          </cell>
          <cell r="AB102">
            <v>52724282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5191235</v>
          </cell>
          <cell r="AN102">
            <v>8441157</v>
          </cell>
          <cell r="AO102">
            <v>0</v>
          </cell>
          <cell r="AP102">
            <v>141230</v>
          </cell>
          <cell r="AQ102">
            <v>3426979</v>
          </cell>
          <cell r="AR102">
            <v>1486589</v>
          </cell>
          <cell r="AS102">
            <v>19</v>
          </cell>
          <cell r="AT102">
            <v>0</v>
          </cell>
          <cell r="AU102">
            <v>-294424</v>
          </cell>
          <cell r="AV102">
            <v>1628015</v>
          </cell>
          <cell r="AW102">
            <v>615676</v>
          </cell>
          <cell r="AX102">
            <v>39995</v>
          </cell>
          <cell r="AY102">
            <v>0</v>
          </cell>
          <cell r="AZ102">
            <v>0</v>
          </cell>
        </row>
        <row r="103">
          <cell r="I103" t="str">
            <v>7900</v>
          </cell>
          <cell r="K103" t="str">
            <v>10</v>
          </cell>
          <cell r="N103" t="str">
            <v/>
          </cell>
          <cell r="O103" t="str">
            <v>F</v>
          </cell>
          <cell r="S103">
            <v>12276076</v>
          </cell>
          <cell r="Y103">
            <v>0</v>
          </cell>
          <cell r="AB103">
            <v>9574199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838785</v>
          </cell>
          <cell r="AN103">
            <v>1364390</v>
          </cell>
          <cell r="AO103">
            <v>0</v>
          </cell>
          <cell r="AP103">
            <v>8698</v>
          </cell>
          <cell r="AQ103">
            <v>544209</v>
          </cell>
          <cell r="AR103">
            <v>203554</v>
          </cell>
          <cell r="AS103">
            <v>3</v>
          </cell>
          <cell r="AT103">
            <v>0</v>
          </cell>
          <cell r="AU103">
            <v>-44963</v>
          </cell>
          <cell r="AV103">
            <v>0</v>
          </cell>
          <cell r="AW103">
            <v>99458</v>
          </cell>
          <cell r="AX103">
            <v>7240</v>
          </cell>
          <cell r="AY103">
            <v>0</v>
          </cell>
          <cell r="AZ103">
            <v>0</v>
          </cell>
        </row>
        <row r="104">
          <cell r="I104" t="str">
            <v>7900</v>
          </cell>
          <cell r="K104" t="str">
            <v>10</v>
          </cell>
          <cell r="N104" t="str">
            <v/>
          </cell>
          <cell r="O104" t="str">
            <v>F</v>
          </cell>
          <cell r="S104">
            <v>296640</v>
          </cell>
          <cell r="Y104">
            <v>0</v>
          </cell>
          <cell r="AB104">
            <v>255257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8732</v>
          </cell>
          <cell r="AN104">
            <v>16415</v>
          </cell>
          <cell r="AO104">
            <v>0</v>
          </cell>
          <cell r="AP104">
            <v>5117</v>
          </cell>
          <cell r="AQ104">
            <v>16823</v>
          </cell>
          <cell r="AR104">
            <v>12890</v>
          </cell>
          <cell r="AS104">
            <v>0</v>
          </cell>
          <cell r="AT104">
            <v>0</v>
          </cell>
          <cell r="AU104">
            <v>-3658</v>
          </cell>
          <cell r="AV104">
            <v>0</v>
          </cell>
          <cell r="AW104">
            <v>1947</v>
          </cell>
          <cell r="AX104">
            <v>128</v>
          </cell>
          <cell r="AY104">
            <v>0</v>
          </cell>
          <cell r="AZ104">
            <v>0</v>
          </cell>
        </row>
        <row r="105">
          <cell r="I105" t="str">
            <v>7900</v>
          </cell>
          <cell r="K105" t="str">
            <v>90</v>
          </cell>
          <cell r="N105" t="str">
            <v/>
          </cell>
          <cell r="O105" t="str">
            <v>F</v>
          </cell>
          <cell r="S105">
            <v>36250727</v>
          </cell>
          <cell r="Y105">
            <v>0</v>
          </cell>
          <cell r="AB105">
            <v>40658925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1401803</v>
          </cell>
          <cell r="AN105">
            <v>1587663</v>
          </cell>
          <cell r="AO105">
            <v>0</v>
          </cell>
          <cell r="AP105">
            <v>28617</v>
          </cell>
          <cell r="AQ105">
            <v>567377</v>
          </cell>
          <cell r="AR105">
            <v>0</v>
          </cell>
          <cell r="AS105">
            <v>0</v>
          </cell>
          <cell r="AT105">
            <v>0</v>
          </cell>
          <cell r="AU105">
            <v>-20</v>
          </cell>
          <cell r="AV105">
            <v>0</v>
          </cell>
          <cell r="AW105">
            <v>183237</v>
          </cell>
          <cell r="AX105">
            <v>14453</v>
          </cell>
          <cell r="AY105">
            <v>0</v>
          </cell>
          <cell r="AZ105">
            <v>0</v>
          </cell>
        </row>
        <row r="106">
          <cell r="I106" t="str">
            <v>7900</v>
          </cell>
          <cell r="K106" t="str">
            <v>90</v>
          </cell>
          <cell r="N106" t="str">
            <v/>
          </cell>
          <cell r="O106" t="str">
            <v>F</v>
          </cell>
          <cell r="S106">
            <v>5738230</v>
          </cell>
          <cell r="Y106">
            <v>0</v>
          </cell>
          <cell r="AB106">
            <v>6456363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238530</v>
          </cell>
          <cell r="AN106">
            <v>270348</v>
          </cell>
          <cell r="AO106">
            <v>0</v>
          </cell>
          <cell r="AP106">
            <v>5219</v>
          </cell>
          <cell r="AQ106">
            <v>97389</v>
          </cell>
          <cell r="AR106">
            <v>724</v>
          </cell>
          <cell r="AS106">
            <v>1</v>
          </cell>
          <cell r="AT106">
            <v>0</v>
          </cell>
          <cell r="AU106">
            <v>-620</v>
          </cell>
          <cell r="AV106">
            <v>0</v>
          </cell>
          <cell r="AW106">
            <v>29885</v>
          </cell>
          <cell r="AX106">
            <v>2355</v>
          </cell>
          <cell r="AY106">
            <v>0</v>
          </cell>
          <cell r="AZ106">
            <v>0</v>
          </cell>
        </row>
        <row r="107">
          <cell r="I107" t="str">
            <v>7920</v>
          </cell>
          <cell r="K107" t="str">
            <v>10</v>
          </cell>
          <cell r="N107" t="str">
            <v/>
          </cell>
          <cell r="O107" t="str">
            <v>F</v>
          </cell>
          <cell r="S107">
            <v>18264960</v>
          </cell>
          <cell r="Y107">
            <v>0</v>
          </cell>
          <cell r="AB107">
            <v>12050216</v>
          </cell>
          <cell r="AC107">
            <v>0</v>
          </cell>
          <cell r="AD107">
            <v>1202602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978873</v>
          </cell>
          <cell r="AN107">
            <v>13766430</v>
          </cell>
          <cell r="AO107">
            <v>13639486</v>
          </cell>
          <cell r="AP107">
            <v>121939</v>
          </cell>
          <cell r="AQ107">
            <v>5295952</v>
          </cell>
          <cell r="AR107">
            <v>506418</v>
          </cell>
          <cell r="AS107">
            <v>7</v>
          </cell>
          <cell r="AT107">
            <v>0</v>
          </cell>
          <cell r="AU107">
            <v>-100766</v>
          </cell>
          <cell r="AV107">
            <v>0</v>
          </cell>
          <cell r="AW107">
            <v>2442733</v>
          </cell>
          <cell r="AX107">
            <v>20046</v>
          </cell>
          <cell r="AY107">
            <v>0</v>
          </cell>
          <cell r="AZ107">
            <v>5</v>
          </cell>
        </row>
        <row r="108">
          <cell r="I108" t="str">
            <v>3100</v>
          </cell>
          <cell r="K108" t="str">
            <v>10</v>
          </cell>
          <cell r="N108" t="str">
            <v>1</v>
          </cell>
          <cell r="O108" t="str">
            <v>D</v>
          </cell>
          <cell r="S108">
            <v>0</v>
          </cell>
          <cell r="Y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9">
          <cell r="I109" t="str">
            <v>3100</v>
          </cell>
          <cell r="K109" t="str">
            <v>10</v>
          </cell>
          <cell r="N109" t="str">
            <v>1</v>
          </cell>
          <cell r="O109" t="str">
            <v>D</v>
          </cell>
          <cell r="S109">
            <v>0</v>
          </cell>
          <cell r="Y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10">
          <cell r="I110" t="str">
            <v>3100</v>
          </cell>
          <cell r="K110" t="str">
            <v>10</v>
          </cell>
          <cell r="N110" t="str">
            <v>1</v>
          </cell>
          <cell r="O110" t="str">
            <v>D</v>
          </cell>
          <cell r="S110">
            <v>0</v>
          </cell>
          <cell r="Y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1">
          <cell r="I111" t="str">
            <v>3100</v>
          </cell>
          <cell r="K111" t="str">
            <v>10</v>
          </cell>
          <cell r="N111" t="str">
            <v>1</v>
          </cell>
          <cell r="O111" t="str">
            <v>D</v>
          </cell>
          <cell r="S111">
            <v>0</v>
          </cell>
          <cell r="Y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</row>
        <row r="112">
          <cell r="I112" t="str">
            <v>3100</v>
          </cell>
          <cell r="K112" t="str">
            <v>10</v>
          </cell>
          <cell r="N112" t="str">
            <v>1</v>
          </cell>
          <cell r="O112" t="str">
            <v>D</v>
          </cell>
          <cell r="S112">
            <v>0</v>
          </cell>
          <cell r="Y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3">
          <cell r="I113" t="str">
            <v>7900</v>
          </cell>
          <cell r="K113" t="str">
            <v>10</v>
          </cell>
          <cell r="N113" t="str">
            <v>1</v>
          </cell>
          <cell r="O113" t="str">
            <v>D</v>
          </cell>
          <cell r="S113">
            <v>0</v>
          </cell>
          <cell r="Y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</row>
        <row r="114">
          <cell r="I114" t="str">
            <v>7900</v>
          </cell>
          <cell r="K114" t="str">
            <v>10</v>
          </cell>
          <cell r="N114" t="str">
            <v>1</v>
          </cell>
          <cell r="O114" t="str">
            <v>D</v>
          </cell>
          <cell r="S114">
            <v>0</v>
          </cell>
          <cell r="Y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5">
          <cell r="I115" t="str">
            <v>7900</v>
          </cell>
          <cell r="K115" t="str">
            <v>10</v>
          </cell>
          <cell r="N115" t="str">
            <v>1</v>
          </cell>
          <cell r="O115" t="str">
            <v>D</v>
          </cell>
          <cell r="S115">
            <v>0</v>
          </cell>
          <cell r="Y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</row>
        <row r="116">
          <cell r="I116" t="str">
            <v>7900</v>
          </cell>
          <cell r="K116" t="str">
            <v>10</v>
          </cell>
          <cell r="N116" t="str">
            <v>1</v>
          </cell>
          <cell r="O116" t="str">
            <v>D</v>
          </cell>
          <cell r="S116">
            <v>0</v>
          </cell>
          <cell r="Y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7">
          <cell r="I117" t="str">
            <v>7920</v>
          </cell>
          <cell r="K117" t="str">
            <v>10</v>
          </cell>
          <cell r="N117" t="str">
            <v>1</v>
          </cell>
          <cell r="O117" t="str">
            <v>D</v>
          </cell>
          <cell r="S117">
            <v>0</v>
          </cell>
          <cell r="Y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</row>
        <row r="118">
          <cell r="I118" t="str">
            <v>3100</v>
          </cell>
          <cell r="K118" t="str">
            <v>10</v>
          </cell>
          <cell r="N118" t="str">
            <v/>
          </cell>
          <cell r="O118" t="str">
            <v>F</v>
          </cell>
          <cell r="S118">
            <v>50401600</v>
          </cell>
          <cell r="Y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24232000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9">
          <cell r="I119" t="str">
            <v>3100</v>
          </cell>
          <cell r="K119" t="str">
            <v>10</v>
          </cell>
          <cell r="N119" t="str">
            <v/>
          </cell>
          <cell r="O119" t="str">
            <v>F</v>
          </cell>
          <cell r="S119">
            <v>0</v>
          </cell>
          <cell r="Y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</row>
        <row r="120">
          <cell r="I120" t="str">
            <v>3100</v>
          </cell>
          <cell r="K120" t="str">
            <v>10</v>
          </cell>
          <cell r="N120" t="str">
            <v/>
          </cell>
          <cell r="O120" t="str">
            <v>F</v>
          </cell>
          <cell r="S120">
            <v>340900</v>
          </cell>
          <cell r="Y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1">
          <cell r="I121" t="str">
            <v>3100</v>
          </cell>
          <cell r="K121" t="str">
            <v>10</v>
          </cell>
          <cell r="N121" t="str">
            <v/>
          </cell>
          <cell r="O121" t="str">
            <v>F</v>
          </cell>
          <cell r="S121">
            <v>6443500</v>
          </cell>
          <cell r="Y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11993000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</row>
        <row r="122">
          <cell r="I122" t="str">
            <v>3100</v>
          </cell>
          <cell r="K122" t="str">
            <v>10</v>
          </cell>
          <cell r="N122" t="str">
            <v>1</v>
          </cell>
          <cell r="O122" t="str">
            <v>I</v>
          </cell>
          <cell r="S122">
            <v>0</v>
          </cell>
          <cell r="Y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</row>
        <row r="123">
          <cell r="I123" t="str">
            <v>3100</v>
          </cell>
          <cell r="K123" t="str">
            <v>10</v>
          </cell>
          <cell r="N123" t="str">
            <v/>
          </cell>
          <cell r="O123" t="str">
            <v>F</v>
          </cell>
          <cell r="S123">
            <v>64357494</v>
          </cell>
          <cell r="Y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1632000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4">
          <cell r="I124" t="str">
            <v>3100</v>
          </cell>
          <cell r="K124" t="str">
            <v>10</v>
          </cell>
          <cell r="N124" t="str">
            <v/>
          </cell>
          <cell r="O124" t="str">
            <v>F</v>
          </cell>
          <cell r="S124">
            <v>28604520</v>
          </cell>
          <cell r="Y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6517500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</row>
        <row r="125">
          <cell r="I125" t="str">
            <v>3100</v>
          </cell>
          <cell r="K125" t="str">
            <v>10</v>
          </cell>
          <cell r="N125" t="str">
            <v/>
          </cell>
          <cell r="O125" t="str">
            <v>F</v>
          </cell>
          <cell r="S125">
            <v>0</v>
          </cell>
          <cell r="Y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6">
          <cell r="I126" t="str">
            <v>3100</v>
          </cell>
          <cell r="K126" t="str">
            <v>10</v>
          </cell>
          <cell r="N126" t="str">
            <v/>
          </cell>
          <cell r="O126" t="str">
            <v>F</v>
          </cell>
          <cell r="S126">
            <v>21415500</v>
          </cell>
          <cell r="Y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25938000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I127" t="str">
            <v>7900</v>
          </cell>
          <cell r="K127" t="str">
            <v>10</v>
          </cell>
          <cell r="N127" t="str">
            <v/>
          </cell>
          <cell r="O127" t="str">
            <v>F</v>
          </cell>
          <cell r="S127">
            <v>3525975</v>
          </cell>
          <cell r="Y127">
            <v>0</v>
          </cell>
          <cell r="AB127">
            <v>4544751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90479</v>
          </cell>
          <cell r="AN127">
            <v>149230</v>
          </cell>
          <cell r="AO127">
            <v>0</v>
          </cell>
          <cell r="AP127">
            <v>15054</v>
          </cell>
          <cell r="AQ127">
            <v>81384</v>
          </cell>
          <cell r="AR127">
            <v>46731</v>
          </cell>
          <cell r="AS127">
            <v>1</v>
          </cell>
          <cell r="AT127">
            <v>0</v>
          </cell>
          <cell r="AU127">
            <v>-27083</v>
          </cell>
          <cell r="AV127">
            <v>8914</v>
          </cell>
          <cell r="AW127">
            <v>9593</v>
          </cell>
          <cell r="AX127">
            <v>2125</v>
          </cell>
          <cell r="AY127">
            <v>0</v>
          </cell>
          <cell r="AZ127">
            <v>0</v>
          </cell>
        </row>
        <row r="128">
          <cell r="I128" t="str">
            <v>7900</v>
          </cell>
          <cell r="K128" t="str">
            <v>10</v>
          </cell>
          <cell r="N128" t="str">
            <v/>
          </cell>
          <cell r="O128" t="str">
            <v>F</v>
          </cell>
          <cell r="S128">
            <v>283156306</v>
          </cell>
          <cell r="Y128">
            <v>0</v>
          </cell>
          <cell r="AB128">
            <v>295650727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9132693</v>
          </cell>
          <cell r="AN128">
            <v>14667828</v>
          </cell>
          <cell r="AO128">
            <v>0</v>
          </cell>
          <cell r="AP128">
            <v>98885</v>
          </cell>
          <cell r="AQ128">
            <v>5621245</v>
          </cell>
          <cell r="AR128">
            <v>1746671</v>
          </cell>
          <cell r="AS128">
            <v>26018</v>
          </cell>
          <cell r="AT128">
            <v>0</v>
          </cell>
          <cell r="AU128">
            <v>-818756</v>
          </cell>
          <cell r="AV128">
            <v>5856991</v>
          </cell>
          <cell r="AW128">
            <v>832682</v>
          </cell>
          <cell r="AX128">
            <v>192595</v>
          </cell>
          <cell r="AY128">
            <v>0</v>
          </cell>
          <cell r="AZ128">
            <v>0</v>
          </cell>
        </row>
        <row r="129">
          <cell r="I129" t="str">
            <v>7900</v>
          </cell>
          <cell r="K129" t="str">
            <v>10</v>
          </cell>
          <cell r="N129" t="str">
            <v/>
          </cell>
          <cell r="O129" t="str">
            <v>F</v>
          </cell>
          <cell r="S129">
            <v>-523676</v>
          </cell>
          <cell r="Y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30">
          <cell r="I130" t="str">
            <v>7900</v>
          </cell>
          <cell r="K130" t="str">
            <v>10</v>
          </cell>
          <cell r="N130" t="str">
            <v/>
          </cell>
          <cell r="O130" t="str">
            <v>F</v>
          </cell>
          <cell r="S130">
            <v>24461360</v>
          </cell>
          <cell r="Y130">
            <v>0</v>
          </cell>
          <cell r="AB130">
            <v>30989893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639768</v>
          </cell>
          <cell r="AN130">
            <v>1021996</v>
          </cell>
          <cell r="AO130">
            <v>0</v>
          </cell>
          <cell r="AP130">
            <v>92544</v>
          </cell>
          <cell r="AQ130">
            <v>496256</v>
          </cell>
          <cell r="AR130">
            <v>290301</v>
          </cell>
          <cell r="AS130">
            <v>4242</v>
          </cell>
          <cell r="AT130">
            <v>0</v>
          </cell>
          <cell r="AU130">
            <v>-69996</v>
          </cell>
          <cell r="AV130">
            <v>0</v>
          </cell>
          <cell r="AW130">
            <v>56524</v>
          </cell>
          <cell r="AX130">
            <v>13352</v>
          </cell>
          <cell r="AY130">
            <v>0</v>
          </cell>
          <cell r="AZ130">
            <v>0</v>
          </cell>
        </row>
        <row r="131">
          <cell r="I131" t="str">
            <v>7900</v>
          </cell>
          <cell r="K131" t="str">
            <v>10</v>
          </cell>
          <cell r="N131" t="str">
            <v/>
          </cell>
          <cell r="O131" t="str">
            <v>F</v>
          </cell>
          <cell r="S131">
            <v>-18392</v>
          </cell>
          <cell r="Y131">
            <v>0</v>
          </cell>
          <cell r="AB131">
            <v>-23298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-483</v>
          </cell>
          <cell r="AN131">
            <v>-766</v>
          </cell>
          <cell r="AO131">
            <v>0</v>
          </cell>
          <cell r="AP131">
            <v>-72</v>
          </cell>
          <cell r="AQ131">
            <v>-374</v>
          </cell>
          <cell r="AR131">
            <v>-220</v>
          </cell>
          <cell r="AS131">
            <v>-2</v>
          </cell>
          <cell r="AT131">
            <v>0</v>
          </cell>
          <cell r="AU131">
            <v>52</v>
          </cell>
          <cell r="AV131">
            <v>0</v>
          </cell>
          <cell r="AW131">
            <v>-46</v>
          </cell>
          <cell r="AX131">
            <v>-11</v>
          </cell>
          <cell r="AY131">
            <v>0</v>
          </cell>
          <cell r="AZ131">
            <v>0</v>
          </cell>
        </row>
        <row r="132">
          <cell r="I132" t="str">
            <v>7900</v>
          </cell>
          <cell r="K132" t="str">
            <v>10</v>
          </cell>
          <cell r="N132" t="str">
            <v/>
          </cell>
          <cell r="O132" t="str">
            <v>F</v>
          </cell>
          <cell r="S132">
            <v>36251740</v>
          </cell>
          <cell r="Y132">
            <v>0</v>
          </cell>
          <cell r="AB132">
            <v>33814940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949393</v>
          </cell>
          <cell r="AN132">
            <v>1533648</v>
          </cell>
          <cell r="AO132">
            <v>0</v>
          </cell>
          <cell r="AP132">
            <v>15821</v>
          </cell>
          <cell r="AQ132">
            <v>617078</v>
          </cell>
          <cell r="AR132">
            <v>196093</v>
          </cell>
          <cell r="AS132">
            <v>419</v>
          </cell>
          <cell r="AT132">
            <v>0</v>
          </cell>
          <cell r="AU132">
            <v>-131314</v>
          </cell>
          <cell r="AV132">
            <v>151763</v>
          </cell>
          <cell r="AW132">
            <v>92093</v>
          </cell>
          <cell r="AX132">
            <v>22111</v>
          </cell>
          <cell r="AY132">
            <v>0</v>
          </cell>
          <cell r="AZ132">
            <v>0</v>
          </cell>
        </row>
        <row r="133">
          <cell r="I133" t="str">
            <v>7920</v>
          </cell>
          <cell r="K133" t="str">
            <v>10</v>
          </cell>
          <cell r="N133" t="str">
            <v/>
          </cell>
          <cell r="O133" t="str">
            <v>F</v>
          </cell>
          <cell r="S133">
            <v>4723320</v>
          </cell>
          <cell r="Y133">
            <v>0</v>
          </cell>
          <cell r="AB133">
            <v>2811662</v>
          </cell>
          <cell r="AC133">
            <v>0</v>
          </cell>
          <cell r="AD133">
            <v>394380</v>
          </cell>
          <cell r="AE133">
            <v>0</v>
          </cell>
          <cell r="AF133">
            <v>0</v>
          </cell>
          <cell r="AG133">
            <v>67047</v>
          </cell>
          <cell r="AH133">
            <v>108220</v>
          </cell>
          <cell r="AI133">
            <v>14335</v>
          </cell>
          <cell r="AJ133">
            <v>0</v>
          </cell>
          <cell r="AK133">
            <v>0</v>
          </cell>
          <cell r="AL133">
            <v>0</v>
          </cell>
          <cell r="AM133">
            <v>76853</v>
          </cell>
          <cell r="AN133">
            <v>1256138</v>
          </cell>
          <cell r="AO133">
            <v>1295455</v>
          </cell>
          <cell r="AP133">
            <v>41185</v>
          </cell>
          <cell r="AQ133">
            <v>491431</v>
          </cell>
          <cell r="AR133">
            <v>94695</v>
          </cell>
          <cell r="AS133">
            <v>11857</v>
          </cell>
          <cell r="AT133">
            <v>0</v>
          </cell>
          <cell r="AU133">
            <v>-1188</v>
          </cell>
          <cell r="AV133">
            <v>0</v>
          </cell>
          <cell r="AW133">
            <v>148153</v>
          </cell>
          <cell r="AX133">
            <v>2586</v>
          </cell>
          <cell r="AY133">
            <v>0</v>
          </cell>
          <cell r="AZ133">
            <v>0</v>
          </cell>
        </row>
        <row r="134">
          <cell r="I134" t="str">
            <v>3100</v>
          </cell>
          <cell r="K134" t="str">
            <v>10</v>
          </cell>
          <cell r="N134" t="str">
            <v>1</v>
          </cell>
          <cell r="O134" t="str">
            <v>D</v>
          </cell>
          <cell r="S134">
            <v>0</v>
          </cell>
          <cell r="Y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5">
          <cell r="I135" t="str">
            <v>3100</v>
          </cell>
          <cell r="K135" t="str">
            <v>30</v>
          </cell>
          <cell r="N135" t="str">
            <v>1</v>
          </cell>
          <cell r="O135" t="str">
            <v>D</v>
          </cell>
          <cell r="S135">
            <v>0</v>
          </cell>
          <cell r="Y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</row>
        <row r="136">
          <cell r="I136" t="str">
            <v>7900</v>
          </cell>
          <cell r="K136" t="str">
            <v>10</v>
          </cell>
          <cell r="N136" t="str">
            <v>1</v>
          </cell>
          <cell r="O136" t="str">
            <v>D</v>
          </cell>
          <cell r="S136">
            <v>0</v>
          </cell>
          <cell r="Y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</row>
        <row r="137">
          <cell r="I137" t="str">
            <v>7900</v>
          </cell>
          <cell r="K137" t="str">
            <v>30</v>
          </cell>
          <cell r="N137" t="str">
            <v>1</v>
          </cell>
          <cell r="O137" t="str">
            <v>D</v>
          </cell>
          <cell r="S137">
            <v>0</v>
          </cell>
          <cell r="Y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8">
          <cell r="I138" t="str">
            <v>7900</v>
          </cell>
          <cell r="K138" t="str">
            <v>10</v>
          </cell>
          <cell r="N138" t="str">
            <v>1</v>
          </cell>
          <cell r="O138" t="str">
            <v>D</v>
          </cell>
          <cell r="S138">
            <v>0</v>
          </cell>
          <cell r="Y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9">
          <cell r="I139" t="str">
            <v>7900</v>
          </cell>
          <cell r="K139" t="str">
            <v>30</v>
          </cell>
          <cell r="N139" t="str">
            <v>1</v>
          </cell>
          <cell r="O139" t="str">
            <v>D</v>
          </cell>
          <cell r="S139">
            <v>0</v>
          </cell>
          <cell r="Y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40">
          <cell r="I140" t="str">
            <v>7920</v>
          </cell>
          <cell r="K140" t="str">
            <v>10</v>
          </cell>
          <cell r="N140" t="str">
            <v>1</v>
          </cell>
          <cell r="O140" t="str">
            <v>D</v>
          </cell>
          <cell r="S140">
            <v>0</v>
          </cell>
          <cell r="Y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1">
          <cell r="I141" t="str">
            <v>7920</v>
          </cell>
          <cell r="K141" t="str">
            <v>10</v>
          </cell>
          <cell r="N141" t="str">
            <v>1</v>
          </cell>
          <cell r="O141" t="str">
            <v>D</v>
          </cell>
          <cell r="S141">
            <v>0</v>
          </cell>
          <cell r="Y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</row>
        <row r="142">
          <cell r="I142" t="str">
            <v>7920</v>
          </cell>
          <cell r="K142" t="str">
            <v>20</v>
          </cell>
          <cell r="N142" t="str">
            <v>1</v>
          </cell>
          <cell r="O142" t="str">
            <v>D</v>
          </cell>
          <cell r="S142">
            <v>0</v>
          </cell>
          <cell r="Y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3">
          <cell r="I143" t="str">
            <v>7920</v>
          </cell>
          <cell r="K143" t="str">
            <v>20</v>
          </cell>
          <cell r="N143" t="str">
            <v>1</v>
          </cell>
          <cell r="O143" t="str">
            <v>D</v>
          </cell>
          <cell r="S143">
            <v>0</v>
          </cell>
          <cell r="Y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4">
          <cell r="I144" t="str">
            <v>7920</v>
          </cell>
          <cell r="K144" t="str">
            <v>10</v>
          </cell>
          <cell r="N144" t="str">
            <v>1</v>
          </cell>
          <cell r="O144" t="str">
            <v>D</v>
          </cell>
          <cell r="S144">
            <v>0</v>
          </cell>
          <cell r="Y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5">
          <cell r="I145" t="str">
            <v>7920</v>
          </cell>
          <cell r="K145" t="str">
            <v>10</v>
          </cell>
          <cell r="N145" t="str">
            <v>1</v>
          </cell>
          <cell r="O145" t="str">
            <v>D</v>
          </cell>
          <cell r="S145">
            <v>0</v>
          </cell>
          <cell r="Y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6">
          <cell r="I146" t="str">
            <v>7920</v>
          </cell>
          <cell r="K146" t="str">
            <v>10</v>
          </cell>
          <cell r="N146" t="str">
            <v>1</v>
          </cell>
          <cell r="O146" t="str">
            <v>D</v>
          </cell>
          <cell r="S146">
            <v>0</v>
          </cell>
          <cell r="Y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7">
          <cell r="I147" t="str">
            <v>7920</v>
          </cell>
          <cell r="K147" t="str">
            <v>20</v>
          </cell>
          <cell r="N147" t="str">
            <v>1</v>
          </cell>
          <cell r="O147" t="str">
            <v>D</v>
          </cell>
          <cell r="S147">
            <v>0</v>
          </cell>
          <cell r="Y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8">
          <cell r="I148" t="str">
            <v>7920</v>
          </cell>
          <cell r="K148" t="str">
            <v>20</v>
          </cell>
          <cell r="N148" t="str">
            <v>1</v>
          </cell>
          <cell r="O148" t="str">
            <v>D</v>
          </cell>
          <cell r="S148">
            <v>0</v>
          </cell>
          <cell r="Y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9">
          <cell r="I149" t="str">
            <v>7920</v>
          </cell>
          <cell r="K149" t="str">
            <v>20</v>
          </cell>
          <cell r="N149" t="str">
            <v>1</v>
          </cell>
          <cell r="O149" t="str">
            <v>D</v>
          </cell>
          <cell r="S149">
            <v>0</v>
          </cell>
          <cell r="Y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50">
          <cell r="I150" t="str">
            <v>3100</v>
          </cell>
          <cell r="K150" t="str">
            <v>10</v>
          </cell>
          <cell r="N150" t="str">
            <v/>
          </cell>
          <cell r="O150" t="str">
            <v>F</v>
          </cell>
          <cell r="S150">
            <v>239001</v>
          </cell>
          <cell r="Y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143568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1">
          <cell r="I151" t="str">
            <v>3100</v>
          </cell>
          <cell r="K151" t="str">
            <v>10</v>
          </cell>
          <cell r="N151" t="str">
            <v/>
          </cell>
          <cell r="O151" t="str">
            <v>F</v>
          </cell>
          <cell r="S151">
            <v>945676</v>
          </cell>
          <cell r="Y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468453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2">
          <cell r="I152" t="str">
            <v>7900</v>
          </cell>
          <cell r="K152" t="str">
            <v>10</v>
          </cell>
          <cell r="N152" t="str">
            <v/>
          </cell>
          <cell r="O152" t="str">
            <v>F</v>
          </cell>
          <cell r="S152">
            <v>7998777</v>
          </cell>
          <cell r="Y152">
            <v>0</v>
          </cell>
          <cell r="AB152">
            <v>11397662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131693</v>
          </cell>
          <cell r="AN152">
            <v>224851</v>
          </cell>
          <cell r="AO152">
            <v>0</v>
          </cell>
          <cell r="AP152">
            <v>119935</v>
          </cell>
          <cell r="AQ152">
            <v>262877</v>
          </cell>
          <cell r="AR152">
            <v>274777</v>
          </cell>
          <cell r="AS152">
            <v>8513</v>
          </cell>
          <cell r="AT152">
            <v>0</v>
          </cell>
          <cell r="AU152">
            <v>-93813</v>
          </cell>
          <cell r="AV152">
            <v>16827</v>
          </cell>
          <cell r="AW152">
            <v>23122</v>
          </cell>
          <cell r="AX152">
            <v>3303</v>
          </cell>
          <cell r="AY152">
            <v>0</v>
          </cell>
          <cell r="AZ152">
            <v>0</v>
          </cell>
        </row>
        <row r="153">
          <cell r="I153" t="str">
            <v>7900</v>
          </cell>
          <cell r="K153" t="str">
            <v>10</v>
          </cell>
          <cell r="N153" t="str">
            <v/>
          </cell>
          <cell r="O153" t="str">
            <v>F</v>
          </cell>
          <cell r="S153">
            <v>567315</v>
          </cell>
          <cell r="Y153">
            <v>0</v>
          </cell>
          <cell r="AB153">
            <v>518888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35800</v>
          </cell>
          <cell r="AN153">
            <v>58739</v>
          </cell>
          <cell r="AO153">
            <v>0</v>
          </cell>
          <cell r="AP153">
            <v>3697</v>
          </cell>
          <cell r="AQ153">
            <v>28014</v>
          </cell>
          <cell r="AR153">
            <v>15912</v>
          </cell>
          <cell r="AS153">
            <v>167</v>
          </cell>
          <cell r="AT153">
            <v>0</v>
          </cell>
          <cell r="AU153">
            <v>-2992</v>
          </cell>
          <cell r="AV153">
            <v>3097</v>
          </cell>
          <cell r="AW153">
            <v>4364</v>
          </cell>
          <cell r="AX153">
            <v>376</v>
          </cell>
          <cell r="AY153">
            <v>0</v>
          </cell>
          <cell r="AZ153">
            <v>0</v>
          </cell>
        </row>
        <row r="154">
          <cell r="I154" t="str">
            <v>7920</v>
          </cell>
          <cell r="K154" t="str">
            <v>10</v>
          </cell>
          <cell r="N154" t="str">
            <v/>
          </cell>
          <cell r="O154" t="str">
            <v>F</v>
          </cell>
          <cell r="S154">
            <v>-98376</v>
          </cell>
          <cell r="Y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5">
          <cell r="I155" t="str">
            <v>7920</v>
          </cell>
          <cell r="K155" t="str">
            <v>10</v>
          </cell>
          <cell r="N155" t="str">
            <v/>
          </cell>
          <cell r="O155" t="str">
            <v>F</v>
          </cell>
          <cell r="S155">
            <v>8237176</v>
          </cell>
          <cell r="Y155">
            <v>0</v>
          </cell>
          <cell r="AB155">
            <v>4303921</v>
          </cell>
          <cell r="AC155">
            <v>129898</v>
          </cell>
          <cell r="AD155">
            <v>1160185</v>
          </cell>
          <cell r="AE155">
            <v>0</v>
          </cell>
          <cell r="AF155">
            <v>0</v>
          </cell>
          <cell r="AG155">
            <v>109897</v>
          </cell>
          <cell r="AH155">
            <v>183320</v>
          </cell>
          <cell r="AI155">
            <v>31501</v>
          </cell>
          <cell r="AJ155">
            <v>0</v>
          </cell>
          <cell r="AK155">
            <v>0</v>
          </cell>
          <cell r="AL155">
            <v>0</v>
          </cell>
          <cell r="AM155">
            <v>1206109</v>
          </cell>
          <cell r="AN155">
            <v>1550043</v>
          </cell>
          <cell r="AO155">
            <v>0</v>
          </cell>
          <cell r="AP155">
            <v>51735</v>
          </cell>
          <cell r="AQ155">
            <v>671042</v>
          </cell>
          <cell r="AR155">
            <v>292530</v>
          </cell>
          <cell r="AS155">
            <v>1852</v>
          </cell>
          <cell r="AT155">
            <v>0</v>
          </cell>
          <cell r="AU155">
            <v>-30876</v>
          </cell>
          <cell r="AV155">
            <v>17648</v>
          </cell>
          <cell r="AW155">
            <v>115777</v>
          </cell>
          <cell r="AX155">
            <v>4113</v>
          </cell>
          <cell r="AY155">
            <v>0</v>
          </cell>
          <cell r="AZ155">
            <v>0</v>
          </cell>
        </row>
        <row r="156">
          <cell r="I156" t="str">
            <v>7920</v>
          </cell>
          <cell r="K156" t="str">
            <v>10</v>
          </cell>
          <cell r="N156" t="str">
            <v/>
          </cell>
          <cell r="O156" t="str">
            <v>F</v>
          </cell>
          <cell r="S156">
            <v>-67883</v>
          </cell>
          <cell r="Y156">
            <v>0</v>
          </cell>
          <cell r="AB156">
            <v>-19675</v>
          </cell>
          <cell r="AC156">
            <v>-19792</v>
          </cell>
          <cell r="AD156">
            <v>-7322</v>
          </cell>
          <cell r="AE156">
            <v>0</v>
          </cell>
          <cell r="AF156">
            <v>0</v>
          </cell>
          <cell r="AG156">
            <v>-754</v>
          </cell>
          <cell r="AH156">
            <v>-1456</v>
          </cell>
          <cell r="AI156">
            <v>-275</v>
          </cell>
          <cell r="AJ156">
            <v>0</v>
          </cell>
          <cell r="AK156">
            <v>0</v>
          </cell>
          <cell r="AL156">
            <v>0</v>
          </cell>
          <cell r="AM156">
            <v>-10865</v>
          </cell>
          <cell r="AN156">
            <v>-13647</v>
          </cell>
          <cell r="AO156">
            <v>0</v>
          </cell>
          <cell r="AP156">
            <v>-849</v>
          </cell>
          <cell r="AQ156">
            <v>-6269</v>
          </cell>
          <cell r="AR156">
            <v>-3091</v>
          </cell>
          <cell r="AS156">
            <v>0</v>
          </cell>
          <cell r="AT156">
            <v>0</v>
          </cell>
          <cell r="AU156">
            <v>94</v>
          </cell>
          <cell r="AV156">
            <v>-136</v>
          </cell>
          <cell r="AW156">
            <v>-842</v>
          </cell>
          <cell r="AX156">
            <v>-20</v>
          </cell>
          <cell r="AY156">
            <v>0</v>
          </cell>
          <cell r="AZ156">
            <v>0</v>
          </cell>
        </row>
        <row r="157">
          <cell r="I157" t="str">
            <v>7920</v>
          </cell>
          <cell r="K157" t="str">
            <v>10</v>
          </cell>
          <cell r="N157" t="str">
            <v/>
          </cell>
          <cell r="O157" t="str">
            <v>F</v>
          </cell>
          <cell r="S157">
            <v>-6180</v>
          </cell>
          <cell r="Y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8">
          <cell r="I158" t="str">
            <v>7920</v>
          </cell>
          <cell r="K158" t="str">
            <v>10</v>
          </cell>
          <cell r="N158" t="str">
            <v/>
          </cell>
          <cell r="O158" t="str">
            <v>F</v>
          </cell>
          <cell r="S158">
            <v>1035729</v>
          </cell>
          <cell r="Y158">
            <v>0</v>
          </cell>
          <cell r="AB158">
            <v>731996</v>
          </cell>
          <cell r="AC158">
            <v>32769</v>
          </cell>
          <cell r="AD158">
            <v>148721</v>
          </cell>
          <cell r="AE158">
            <v>0</v>
          </cell>
          <cell r="AF158">
            <v>0</v>
          </cell>
          <cell r="AG158">
            <v>13527</v>
          </cell>
          <cell r="AH158">
            <v>23740</v>
          </cell>
          <cell r="AI158">
            <v>4042</v>
          </cell>
          <cell r="AJ158">
            <v>0</v>
          </cell>
          <cell r="AK158">
            <v>0</v>
          </cell>
          <cell r="AL158">
            <v>0</v>
          </cell>
          <cell r="AM158">
            <v>136612</v>
          </cell>
          <cell r="AN158">
            <v>176134</v>
          </cell>
          <cell r="AO158">
            <v>0</v>
          </cell>
          <cell r="AP158">
            <v>13485</v>
          </cell>
          <cell r="AQ158">
            <v>87992</v>
          </cell>
          <cell r="AR158">
            <v>49175</v>
          </cell>
          <cell r="AS158">
            <v>1</v>
          </cell>
          <cell r="AT158">
            <v>0</v>
          </cell>
          <cell r="AU158">
            <v>-2708</v>
          </cell>
          <cell r="AV158">
            <v>175</v>
          </cell>
          <cell r="AW158">
            <v>13670</v>
          </cell>
          <cell r="AX158">
            <v>366</v>
          </cell>
          <cell r="AY158">
            <v>0</v>
          </cell>
          <cell r="AZ158">
            <v>0</v>
          </cell>
        </row>
        <row r="159">
          <cell r="I159" t="str">
            <v>7920</v>
          </cell>
          <cell r="K159" t="str">
            <v>10</v>
          </cell>
          <cell r="N159" t="str">
            <v/>
          </cell>
          <cell r="O159" t="str">
            <v>F</v>
          </cell>
          <cell r="S159">
            <v>-71124</v>
          </cell>
          <cell r="Y159">
            <v>0</v>
          </cell>
          <cell r="AB159">
            <v>-20014</v>
          </cell>
          <cell r="AC159">
            <v>-19553</v>
          </cell>
          <cell r="AD159">
            <v>-7035</v>
          </cell>
          <cell r="AE159">
            <v>0</v>
          </cell>
          <cell r="AF159">
            <v>0</v>
          </cell>
          <cell r="AG159">
            <v>-746</v>
          </cell>
          <cell r="AH159">
            <v>-1595</v>
          </cell>
          <cell r="AI159">
            <v>-272</v>
          </cell>
          <cell r="AJ159">
            <v>0</v>
          </cell>
          <cell r="AK159">
            <v>0</v>
          </cell>
          <cell r="AL159">
            <v>0</v>
          </cell>
          <cell r="AM159">
            <v>-8063</v>
          </cell>
          <cell r="AN159">
            <v>-10253</v>
          </cell>
          <cell r="AO159">
            <v>0</v>
          </cell>
          <cell r="AP159">
            <v>-744</v>
          </cell>
          <cell r="AQ159">
            <v>-5063</v>
          </cell>
          <cell r="AR159">
            <v>-2601</v>
          </cell>
          <cell r="AS159">
            <v>0</v>
          </cell>
          <cell r="AT159">
            <v>0</v>
          </cell>
          <cell r="AU159">
            <v>14</v>
          </cell>
          <cell r="AV159">
            <v>-4</v>
          </cell>
          <cell r="AW159">
            <v>-702</v>
          </cell>
          <cell r="AX159">
            <v>-23</v>
          </cell>
          <cell r="AY159">
            <v>0</v>
          </cell>
          <cell r="AZ159">
            <v>0</v>
          </cell>
        </row>
        <row r="160">
          <cell r="I160" t="str">
            <v>7920</v>
          </cell>
          <cell r="K160" t="str">
            <v>20</v>
          </cell>
          <cell r="N160" t="str">
            <v/>
          </cell>
          <cell r="O160" t="str">
            <v>F</v>
          </cell>
          <cell r="S160">
            <v>-494298</v>
          </cell>
          <cell r="Y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1">
          <cell r="I161" t="str">
            <v>7920</v>
          </cell>
          <cell r="K161" t="str">
            <v>20</v>
          </cell>
          <cell r="N161" t="str">
            <v/>
          </cell>
          <cell r="O161" t="str">
            <v>F</v>
          </cell>
          <cell r="S161">
            <v>77139853</v>
          </cell>
          <cell r="Y161">
            <v>0</v>
          </cell>
          <cell r="AB161">
            <v>40440445</v>
          </cell>
          <cell r="AC161">
            <v>1228767</v>
          </cell>
          <cell r="AD161">
            <v>10926034</v>
          </cell>
          <cell r="AE161">
            <v>0</v>
          </cell>
          <cell r="AF161">
            <v>0</v>
          </cell>
          <cell r="AG161">
            <v>1031981</v>
          </cell>
          <cell r="AH161">
            <v>1730715</v>
          </cell>
          <cell r="AI161">
            <v>297404</v>
          </cell>
          <cell r="AJ161">
            <v>0</v>
          </cell>
          <cell r="AK161">
            <v>0</v>
          </cell>
          <cell r="AL161">
            <v>0</v>
          </cell>
          <cell r="AM161">
            <v>11371920</v>
          </cell>
          <cell r="AN161">
            <v>14614378</v>
          </cell>
          <cell r="AO161">
            <v>0</v>
          </cell>
          <cell r="AP161">
            <v>488180</v>
          </cell>
          <cell r="AQ161">
            <v>6327703</v>
          </cell>
          <cell r="AR161">
            <v>2755671</v>
          </cell>
          <cell r="AS161">
            <v>17370</v>
          </cell>
          <cell r="AT161">
            <v>0</v>
          </cell>
          <cell r="AU161">
            <v>-290499</v>
          </cell>
          <cell r="AV161">
            <v>166145</v>
          </cell>
          <cell r="AW161">
            <v>1089768</v>
          </cell>
          <cell r="AX161">
            <v>38761</v>
          </cell>
          <cell r="AY161">
            <v>0</v>
          </cell>
          <cell r="AZ161">
            <v>0</v>
          </cell>
        </row>
        <row r="162">
          <cell r="I162" t="str">
            <v>7920</v>
          </cell>
          <cell r="K162" t="str">
            <v>20</v>
          </cell>
          <cell r="N162" t="str">
            <v/>
          </cell>
          <cell r="O162" t="str">
            <v>F</v>
          </cell>
          <cell r="S162">
            <v>-1329</v>
          </cell>
          <cell r="Y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3">
          <cell r="I163" t="str">
            <v>7920</v>
          </cell>
          <cell r="K163" t="str">
            <v>20</v>
          </cell>
          <cell r="N163" t="str">
            <v/>
          </cell>
          <cell r="O163" t="str">
            <v>F</v>
          </cell>
          <cell r="S163">
            <v>213372</v>
          </cell>
          <cell r="Y163">
            <v>0</v>
          </cell>
          <cell r="AB163">
            <v>60043</v>
          </cell>
          <cell r="AC163">
            <v>58659</v>
          </cell>
          <cell r="AD163">
            <v>21104</v>
          </cell>
          <cell r="AE163">
            <v>0</v>
          </cell>
          <cell r="AF163">
            <v>0</v>
          </cell>
          <cell r="AG163">
            <v>2237</v>
          </cell>
          <cell r="AH163">
            <v>4784</v>
          </cell>
          <cell r="AI163">
            <v>816</v>
          </cell>
          <cell r="AJ163">
            <v>0</v>
          </cell>
          <cell r="AK163">
            <v>0</v>
          </cell>
          <cell r="AL163">
            <v>0</v>
          </cell>
          <cell r="AM163">
            <v>24188</v>
          </cell>
          <cell r="AN163">
            <v>30760</v>
          </cell>
          <cell r="AO163">
            <v>0</v>
          </cell>
          <cell r="AP163">
            <v>2231</v>
          </cell>
          <cell r="AQ163">
            <v>15189</v>
          </cell>
          <cell r="AR163">
            <v>7803</v>
          </cell>
          <cell r="AS163">
            <v>0</v>
          </cell>
          <cell r="AT163">
            <v>0</v>
          </cell>
          <cell r="AU163">
            <v>-41</v>
          </cell>
          <cell r="AV163">
            <v>13</v>
          </cell>
          <cell r="AW163">
            <v>2105</v>
          </cell>
          <cell r="AX163">
            <v>70</v>
          </cell>
          <cell r="AY163">
            <v>0</v>
          </cell>
          <cell r="AZ163">
            <v>0</v>
          </cell>
        </row>
        <row r="164">
          <cell r="I164" t="str">
            <v>7920</v>
          </cell>
          <cell r="K164" t="str">
            <v>10</v>
          </cell>
          <cell r="N164" t="str">
            <v/>
          </cell>
          <cell r="O164" t="str">
            <v>F</v>
          </cell>
          <cell r="S164">
            <v>-1084382</v>
          </cell>
          <cell r="Y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5">
          <cell r="I165" t="str">
            <v>7920</v>
          </cell>
          <cell r="K165" t="str">
            <v>10</v>
          </cell>
          <cell r="N165" t="str">
            <v/>
          </cell>
          <cell r="O165" t="str">
            <v>F</v>
          </cell>
          <cell r="S165">
            <v>157046903</v>
          </cell>
          <cell r="Y165">
            <v>0</v>
          </cell>
          <cell r="AB165">
            <v>71744856</v>
          </cell>
          <cell r="AC165">
            <v>0</v>
          </cell>
          <cell r="AD165">
            <v>31014850</v>
          </cell>
          <cell r="AE165">
            <v>0</v>
          </cell>
          <cell r="AF165">
            <v>0</v>
          </cell>
          <cell r="AG165">
            <v>1737361</v>
          </cell>
          <cell r="AH165">
            <v>2282213</v>
          </cell>
          <cell r="AI165">
            <v>1131047</v>
          </cell>
          <cell r="AJ165">
            <v>0</v>
          </cell>
          <cell r="AK165">
            <v>0</v>
          </cell>
          <cell r="AL165">
            <v>0</v>
          </cell>
          <cell r="AM165">
            <v>32091300</v>
          </cell>
          <cell r="AN165">
            <v>40598787</v>
          </cell>
          <cell r="AO165">
            <v>0</v>
          </cell>
          <cell r="AP165">
            <v>383841</v>
          </cell>
          <cell r="AQ165">
            <v>15785088</v>
          </cell>
          <cell r="AR165">
            <v>4456862</v>
          </cell>
          <cell r="AS165">
            <v>46351</v>
          </cell>
          <cell r="AT165">
            <v>0</v>
          </cell>
          <cell r="AU165">
            <v>-633003</v>
          </cell>
          <cell r="AV165">
            <v>1754295</v>
          </cell>
          <cell r="AW165">
            <v>2274346</v>
          </cell>
          <cell r="AX165">
            <v>93160</v>
          </cell>
          <cell r="AY165">
            <v>0</v>
          </cell>
          <cell r="AZ165">
            <v>0</v>
          </cell>
        </row>
        <row r="166">
          <cell r="I166" t="str">
            <v>7920</v>
          </cell>
          <cell r="K166" t="str">
            <v>10</v>
          </cell>
          <cell r="N166" t="str">
            <v/>
          </cell>
          <cell r="O166" t="str">
            <v>F</v>
          </cell>
          <cell r="S166">
            <v>-45496</v>
          </cell>
          <cell r="Y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7">
          <cell r="I167" t="str">
            <v>7920</v>
          </cell>
          <cell r="K167" t="str">
            <v>10</v>
          </cell>
          <cell r="N167" t="str">
            <v/>
          </cell>
          <cell r="O167" t="str">
            <v>F</v>
          </cell>
          <cell r="S167">
            <v>10920972</v>
          </cell>
          <cell r="Y167">
            <v>0</v>
          </cell>
          <cell r="AB167">
            <v>4305821</v>
          </cell>
          <cell r="AC167">
            <v>1237159</v>
          </cell>
          <cell r="AD167">
            <v>1319167</v>
          </cell>
          <cell r="AE167">
            <v>0</v>
          </cell>
          <cell r="AF167">
            <v>0</v>
          </cell>
          <cell r="AG167">
            <v>87667</v>
          </cell>
          <cell r="AH167">
            <v>133691</v>
          </cell>
          <cell r="AI167">
            <v>59786</v>
          </cell>
          <cell r="AJ167">
            <v>0</v>
          </cell>
          <cell r="AK167">
            <v>0</v>
          </cell>
          <cell r="AL167">
            <v>0</v>
          </cell>
          <cell r="AM167">
            <v>1668717</v>
          </cell>
          <cell r="AN167">
            <v>2135877</v>
          </cell>
          <cell r="AO167">
            <v>0</v>
          </cell>
          <cell r="AP167">
            <v>68586</v>
          </cell>
          <cell r="AQ167">
            <v>976874</v>
          </cell>
          <cell r="AR167">
            <v>319340</v>
          </cell>
          <cell r="AS167">
            <v>14090</v>
          </cell>
          <cell r="AT167">
            <v>0</v>
          </cell>
          <cell r="AU167">
            <v>-32464</v>
          </cell>
          <cell r="AV167">
            <v>5089</v>
          </cell>
          <cell r="AW167">
            <v>116380</v>
          </cell>
          <cell r="AX167">
            <v>3964</v>
          </cell>
          <cell r="AY167">
            <v>0</v>
          </cell>
          <cell r="AZ167">
            <v>0</v>
          </cell>
        </row>
        <row r="168">
          <cell r="I168" t="str">
            <v>7920</v>
          </cell>
          <cell r="K168" t="str">
            <v>10</v>
          </cell>
          <cell r="N168" t="str">
            <v/>
          </cell>
          <cell r="O168" t="str">
            <v>F</v>
          </cell>
          <cell r="S168">
            <v>-1915960</v>
          </cell>
          <cell r="Y168">
            <v>0</v>
          </cell>
          <cell r="AB168">
            <v>-755411</v>
          </cell>
          <cell r="AC168">
            <v>-217048</v>
          </cell>
          <cell r="AD168">
            <v>-231429</v>
          </cell>
          <cell r="AE168">
            <v>0</v>
          </cell>
          <cell r="AF168">
            <v>0</v>
          </cell>
          <cell r="AG168">
            <v>-15376</v>
          </cell>
          <cell r="AH168">
            <v>-23453</v>
          </cell>
          <cell r="AI168">
            <v>-10487</v>
          </cell>
          <cell r="AJ168">
            <v>0</v>
          </cell>
          <cell r="AK168">
            <v>0</v>
          </cell>
          <cell r="AL168">
            <v>0</v>
          </cell>
          <cell r="AM168">
            <v>-292762</v>
          </cell>
          <cell r="AN168">
            <v>-374718</v>
          </cell>
          <cell r="AO168">
            <v>0</v>
          </cell>
          <cell r="AP168">
            <v>-12033</v>
          </cell>
          <cell r="AQ168">
            <v>-171381</v>
          </cell>
          <cell r="AR168">
            <v>-56023</v>
          </cell>
          <cell r="AS168">
            <v>-2476</v>
          </cell>
          <cell r="AT168">
            <v>0</v>
          </cell>
          <cell r="AU168">
            <v>5696</v>
          </cell>
          <cell r="AV168">
            <v>-893</v>
          </cell>
          <cell r="AW168">
            <v>-20421</v>
          </cell>
          <cell r="AX168">
            <v>-696</v>
          </cell>
          <cell r="AY168">
            <v>0</v>
          </cell>
          <cell r="AZ168">
            <v>0</v>
          </cell>
        </row>
        <row r="169">
          <cell r="I169" t="str">
            <v>7920</v>
          </cell>
          <cell r="K169" t="str">
            <v>10</v>
          </cell>
          <cell r="N169" t="str">
            <v/>
          </cell>
          <cell r="O169" t="str">
            <v>F</v>
          </cell>
          <cell r="S169">
            <v>-1227856</v>
          </cell>
          <cell r="Y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70">
          <cell r="I170" t="str">
            <v>7920</v>
          </cell>
          <cell r="K170" t="str">
            <v>10</v>
          </cell>
          <cell r="N170" t="str">
            <v/>
          </cell>
          <cell r="O170" t="str">
            <v>F</v>
          </cell>
          <cell r="S170">
            <v>165071720</v>
          </cell>
          <cell r="Y170">
            <v>0</v>
          </cell>
          <cell r="AB170">
            <v>82670320</v>
          </cell>
          <cell r="AC170">
            <v>0</v>
          </cell>
          <cell r="AD170">
            <v>23639658</v>
          </cell>
          <cell r="AE170">
            <v>0</v>
          </cell>
          <cell r="AF170">
            <v>0</v>
          </cell>
          <cell r="AG170">
            <v>1781250</v>
          </cell>
          <cell r="AH170">
            <v>3111545</v>
          </cell>
          <cell r="AI170">
            <v>1128327</v>
          </cell>
          <cell r="AJ170">
            <v>0</v>
          </cell>
          <cell r="AK170">
            <v>0</v>
          </cell>
          <cell r="AL170">
            <v>0</v>
          </cell>
          <cell r="AM170">
            <v>34544378</v>
          </cell>
          <cell r="AN170">
            <v>43631971</v>
          </cell>
          <cell r="AO170">
            <v>0</v>
          </cell>
          <cell r="AP170">
            <v>255998</v>
          </cell>
          <cell r="AQ170">
            <v>16533578</v>
          </cell>
          <cell r="AR170">
            <v>4454914</v>
          </cell>
          <cell r="AS170">
            <v>31737</v>
          </cell>
          <cell r="AT170">
            <v>0</v>
          </cell>
          <cell r="AU170">
            <v>-654631</v>
          </cell>
          <cell r="AV170">
            <v>398098</v>
          </cell>
          <cell r="AW170">
            <v>2403376</v>
          </cell>
          <cell r="AX170">
            <v>101765</v>
          </cell>
          <cell r="AY170">
            <v>0</v>
          </cell>
          <cell r="AZ170">
            <v>0</v>
          </cell>
        </row>
        <row r="171">
          <cell r="I171" t="str">
            <v>7920</v>
          </cell>
          <cell r="K171" t="str">
            <v>20</v>
          </cell>
          <cell r="N171" t="str">
            <v/>
          </cell>
          <cell r="O171" t="str">
            <v>F</v>
          </cell>
          <cell r="S171">
            <v>-873328</v>
          </cell>
          <cell r="Y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2">
          <cell r="I172" t="str">
            <v>7920</v>
          </cell>
          <cell r="K172" t="str">
            <v>20</v>
          </cell>
          <cell r="N172" t="str">
            <v/>
          </cell>
          <cell r="O172" t="str">
            <v>F</v>
          </cell>
          <cell r="S172">
            <v>126348082</v>
          </cell>
          <cell r="Y172">
            <v>0</v>
          </cell>
          <cell r="AB172">
            <v>57683148</v>
          </cell>
          <cell r="AC172">
            <v>0</v>
          </cell>
          <cell r="AD172">
            <v>25127937</v>
          </cell>
          <cell r="AE172">
            <v>0</v>
          </cell>
          <cell r="AF172">
            <v>0</v>
          </cell>
          <cell r="AG172">
            <v>1397680</v>
          </cell>
          <cell r="AH172">
            <v>1840741</v>
          </cell>
          <cell r="AI172">
            <v>903794</v>
          </cell>
          <cell r="AJ172">
            <v>0</v>
          </cell>
          <cell r="AK172">
            <v>0</v>
          </cell>
          <cell r="AL172">
            <v>0</v>
          </cell>
          <cell r="AM172">
            <v>25649396</v>
          </cell>
          <cell r="AN172">
            <v>32456559</v>
          </cell>
          <cell r="AO172">
            <v>0</v>
          </cell>
          <cell r="AP172">
            <v>341366</v>
          </cell>
          <cell r="AQ172">
            <v>12658120</v>
          </cell>
          <cell r="AR172">
            <v>3627245</v>
          </cell>
          <cell r="AS172">
            <v>35174</v>
          </cell>
          <cell r="AT172">
            <v>0</v>
          </cell>
          <cell r="AU172">
            <v>-495243</v>
          </cell>
          <cell r="AV172">
            <v>1399725</v>
          </cell>
          <cell r="AW172">
            <v>1813422</v>
          </cell>
          <cell r="AX172">
            <v>74294</v>
          </cell>
          <cell r="AY172">
            <v>0</v>
          </cell>
          <cell r="AZ172">
            <v>0</v>
          </cell>
        </row>
        <row r="173">
          <cell r="I173" t="str">
            <v>7920</v>
          </cell>
          <cell r="K173" t="str">
            <v>20</v>
          </cell>
          <cell r="N173" t="str">
            <v/>
          </cell>
          <cell r="O173" t="str">
            <v>F</v>
          </cell>
          <cell r="S173">
            <v>-70247</v>
          </cell>
          <cell r="Y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</row>
        <row r="174">
          <cell r="I174" t="str">
            <v>7920</v>
          </cell>
          <cell r="K174" t="str">
            <v>20</v>
          </cell>
          <cell r="N174" t="str">
            <v/>
          </cell>
          <cell r="O174" t="str">
            <v>F</v>
          </cell>
          <cell r="S174">
            <v>13895764</v>
          </cell>
          <cell r="Y174">
            <v>0</v>
          </cell>
          <cell r="AB174">
            <v>5293205</v>
          </cell>
          <cell r="AC174">
            <v>1572288</v>
          </cell>
          <cell r="AD174">
            <v>1712299</v>
          </cell>
          <cell r="AE174">
            <v>0</v>
          </cell>
          <cell r="AF174">
            <v>0</v>
          </cell>
          <cell r="AG174">
            <v>113479</v>
          </cell>
          <cell r="AH174">
            <v>169085</v>
          </cell>
          <cell r="AI174">
            <v>74774</v>
          </cell>
          <cell r="AJ174">
            <v>0</v>
          </cell>
          <cell r="AK174">
            <v>0</v>
          </cell>
          <cell r="AL174">
            <v>0</v>
          </cell>
          <cell r="AM174">
            <v>2180830</v>
          </cell>
          <cell r="AN174">
            <v>2781724</v>
          </cell>
          <cell r="AO174">
            <v>0</v>
          </cell>
          <cell r="AP174">
            <v>80910</v>
          </cell>
          <cell r="AQ174">
            <v>1238244</v>
          </cell>
          <cell r="AR174">
            <v>400156</v>
          </cell>
          <cell r="AS174">
            <v>13476</v>
          </cell>
          <cell r="AT174">
            <v>0</v>
          </cell>
          <cell r="AU174">
            <v>-44491</v>
          </cell>
          <cell r="AV174">
            <v>6608</v>
          </cell>
          <cell r="AW174">
            <v>151448</v>
          </cell>
          <cell r="AX174">
            <v>5182</v>
          </cell>
          <cell r="AY174">
            <v>0</v>
          </cell>
          <cell r="AZ174">
            <v>0</v>
          </cell>
        </row>
        <row r="175">
          <cell r="I175" t="str">
            <v>7920</v>
          </cell>
          <cell r="K175" t="str">
            <v>20</v>
          </cell>
          <cell r="N175" t="str">
            <v/>
          </cell>
          <cell r="O175" t="str">
            <v>F</v>
          </cell>
          <cell r="S175">
            <v>-1655584</v>
          </cell>
          <cell r="Y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6">
          <cell r="I176" t="str">
            <v>7920</v>
          </cell>
          <cell r="K176" t="str">
            <v>20</v>
          </cell>
          <cell r="N176" t="str">
            <v/>
          </cell>
          <cell r="O176" t="str">
            <v>F</v>
          </cell>
          <cell r="S176">
            <v>222380408</v>
          </cell>
          <cell r="Y176">
            <v>0</v>
          </cell>
          <cell r="AB176">
            <v>111372305</v>
          </cell>
          <cell r="AC176">
            <v>0</v>
          </cell>
          <cell r="AD176">
            <v>31847015</v>
          </cell>
          <cell r="AE176">
            <v>0</v>
          </cell>
          <cell r="AF176">
            <v>0</v>
          </cell>
          <cell r="AG176">
            <v>2399676</v>
          </cell>
          <cell r="AH176">
            <v>4191831</v>
          </cell>
          <cell r="AI176">
            <v>1520066</v>
          </cell>
          <cell r="AJ176">
            <v>0</v>
          </cell>
          <cell r="AK176">
            <v>0</v>
          </cell>
          <cell r="AL176">
            <v>0</v>
          </cell>
          <cell r="AM176">
            <v>46537704</v>
          </cell>
          <cell r="AN176">
            <v>58780388</v>
          </cell>
          <cell r="AO176">
            <v>0</v>
          </cell>
          <cell r="AP176">
            <v>344880</v>
          </cell>
          <cell r="AQ176">
            <v>22273801</v>
          </cell>
          <cell r="AR176">
            <v>6001597</v>
          </cell>
          <cell r="AS176">
            <v>42752</v>
          </cell>
          <cell r="AT176">
            <v>0</v>
          </cell>
          <cell r="AU176">
            <v>-881905</v>
          </cell>
          <cell r="AV176">
            <v>536307</v>
          </cell>
          <cell r="AW176">
            <v>3237794</v>
          </cell>
          <cell r="AX176">
            <v>137094</v>
          </cell>
          <cell r="AY176">
            <v>0</v>
          </cell>
          <cell r="AZ176">
            <v>0</v>
          </cell>
        </row>
        <row r="177">
          <cell r="I177" t="str">
            <v>3100</v>
          </cell>
          <cell r="K177" t="str">
            <v>10</v>
          </cell>
          <cell r="N177" t="str">
            <v>1</v>
          </cell>
          <cell r="O177" t="str">
            <v>D</v>
          </cell>
          <cell r="S177">
            <v>0</v>
          </cell>
          <cell r="Y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8">
          <cell r="I178" t="str">
            <v>3100</v>
          </cell>
          <cell r="K178" t="str">
            <v>10</v>
          </cell>
          <cell r="N178" t="str">
            <v>1</v>
          </cell>
          <cell r="O178" t="str">
            <v>D</v>
          </cell>
          <cell r="S178">
            <v>0</v>
          </cell>
          <cell r="Y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9">
          <cell r="I179" t="str">
            <v>3100</v>
          </cell>
          <cell r="K179" t="str">
            <v>10</v>
          </cell>
          <cell r="N179" t="str">
            <v>1</v>
          </cell>
          <cell r="O179" t="str">
            <v>D</v>
          </cell>
          <cell r="S179">
            <v>0</v>
          </cell>
          <cell r="Y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</row>
        <row r="180">
          <cell r="I180" t="str">
            <v>3100</v>
          </cell>
          <cell r="K180" t="str">
            <v>10</v>
          </cell>
          <cell r="N180" t="str">
            <v>1</v>
          </cell>
          <cell r="O180" t="str">
            <v>D</v>
          </cell>
          <cell r="S180">
            <v>0</v>
          </cell>
          <cell r="Y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1">
          <cell r="I181" t="str">
            <v>3100</v>
          </cell>
          <cell r="K181" t="str">
            <v>10</v>
          </cell>
          <cell r="N181" t="str">
            <v>1</v>
          </cell>
          <cell r="O181" t="str">
            <v>D</v>
          </cell>
          <cell r="S181">
            <v>0</v>
          </cell>
          <cell r="Y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2">
          <cell r="I182" t="str">
            <v>3100</v>
          </cell>
          <cell r="K182" t="str">
            <v>10</v>
          </cell>
          <cell r="N182" t="str">
            <v>1</v>
          </cell>
          <cell r="O182" t="str">
            <v>D</v>
          </cell>
          <cell r="S182">
            <v>0</v>
          </cell>
          <cell r="Y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3">
          <cell r="I183" t="str">
            <v>3100</v>
          </cell>
          <cell r="K183" t="str">
            <v>20</v>
          </cell>
          <cell r="N183" t="str">
            <v>1</v>
          </cell>
          <cell r="O183" t="str">
            <v>D</v>
          </cell>
          <cell r="S183">
            <v>0</v>
          </cell>
          <cell r="Y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4">
          <cell r="I184" t="str">
            <v>3100</v>
          </cell>
          <cell r="K184" t="str">
            <v>20</v>
          </cell>
          <cell r="N184" t="str">
            <v>1</v>
          </cell>
          <cell r="O184" t="str">
            <v>D</v>
          </cell>
          <cell r="S184">
            <v>0</v>
          </cell>
          <cell r="Y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5">
          <cell r="I185" t="str">
            <v>3100</v>
          </cell>
          <cell r="K185" t="str">
            <v>20</v>
          </cell>
          <cell r="N185" t="str">
            <v>1</v>
          </cell>
          <cell r="O185" t="str">
            <v>D</v>
          </cell>
          <cell r="S185">
            <v>0</v>
          </cell>
          <cell r="Y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</row>
        <row r="186">
          <cell r="I186" t="str">
            <v>3100</v>
          </cell>
          <cell r="K186" t="str">
            <v>30</v>
          </cell>
          <cell r="N186" t="str">
            <v>1</v>
          </cell>
          <cell r="O186" t="str">
            <v>D</v>
          </cell>
          <cell r="S186">
            <v>0</v>
          </cell>
          <cell r="Y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</row>
        <row r="187">
          <cell r="I187" t="str">
            <v>3100</v>
          </cell>
          <cell r="K187" t="str">
            <v>30</v>
          </cell>
          <cell r="N187" t="str">
            <v>1</v>
          </cell>
          <cell r="O187" t="str">
            <v>D</v>
          </cell>
          <cell r="S187">
            <v>0</v>
          </cell>
          <cell r="Y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</row>
        <row r="188">
          <cell r="I188" t="str">
            <v>3100</v>
          </cell>
          <cell r="K188" t="str">
            <v>30</v>
          </cell>
          <cell r="N188" t="str">
            <v>1</v>
          </cell>
          <cell r="O188" t="str">
            <v>D</v>
          </cell>
          <cell r="S188">
            <v>0</v>
          </cell>
          <cell r="Y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9">
          <cell r="I189" t="str">
            <v>3100</v>
          </cell>
          <cell r="K189" t="str">
            <v>30</v>
          </cell>
          <cell r="N189" t="str">
            <v>1</v>
          </cell>
          <cell r="O189" t="str">
            <v>D</v>
          </cell>
          <cell r="S189">
            <v>0</v>
          </cell>
          <cell r="Y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90">
          <cell r="I190" t="str">
            <v>3100</v>
          </cell>
          <cell r="K190" t="str">
            <v>30</v>
          </cell>
          <cell r="N190" t="str">
            <v>1</v>
          </cell>
          <cell r="O190" t="str">
            <v>D</v>
          </cell>
          <cell r="S190">
            <v>0</v>
          </cell>
          <cell r="Y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1">
          <cell r="I191" t="str">
            <v>3100</v>
          </cell>
          <cell r="K191" t="str">
            <v>30</v>
          </cell>
          <cell r="N191" t="str">
            <v>1</v>
          </cell>
          <cell r="O191" t="str">
            <v>D</v>
          </cell>
          <cell r="S191">
            <v>0</v>
          </cell>
          <cell r="Y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2">
          <cell r="I192" t="str">
            <v>3100</v>
          </cell>
          <cell r="K192" t="str">
            <v>30</v>
          </cell>
          <cell r="N192" t="str">
            <v>1</v>
          </cell>
          <cell r="O192" t="str">
            <v>D</v>
          </cell>
          <cell r="S192">
            <v>0</v>
          </cell>
          <cell r="Y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3">
          <cell r="I193" t="str">
            <v>7900</v>
          </cell>
          <cell r="K193" t="str">
            <v>10</v>
          </cell>
          <cell r="N193" t="str">
            <v>1</v>
          </cell>
          <cell r="O193" t="str">
            <v>D</v>
          </cell>
          <cell r="S193">
            <v>0</v>
          </cell>
          <cell r="Y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</row>
        <row r="194">
          <cell r="I194" t="str">
            <v>7900</v>
          </cell>
          <cell r="K194" t="str">
            <v>10</v>
          </cell>
          <cell r="N194" t="str">
            <v>1</v>
          </cell>
          <cell r="O194" t="str">
            <v>D</v>
          </cell>
          <cell r="S194">
            <v>0</v>
          </cell>
          <cell r="Y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5">
          <cell r="I195" t="str">
            <v>7900</v>
          </cell>
          <cell r="K195" t="str">
            <v>30</v>
          </cell>
          <cell r="N195" t="str">
            <v>1</v>
          </cell>
          <cell r="O195" t="str">
            <v>D</v>
          </cell>
          <cell r="S195">
            <v>0</v>
          </cell>
          <cell r="Y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6">
          <cell r="I196" t="str">
            <v>7920</v>
          </cell>
          <cell r="K196" t="str">
            <v>10</v>
          </cell>
          <cell r="N196" t="str">
            <v>1</v>
          </cell>
          <cell r="O196" t="str">
            <v>D</v>
          </cell>
          <cell r="S196">
            <v>0</v>
          </cell>
          <cell r="Y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7">
          <cell r="I197" t="str">
            <v>7920</v>
          </cell>
          <cell r="K197" t="str">
            <v>10</v>
          </cell>
          <cell r="N197" t="str">
            <v>1</v>
          </cell>
          <cell r="O197" t="str">
            <v>D</v>
          </cell>
          <cell r="S197">
            <v>0</v>
          </cell>
          <cell r="Y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8">
          <cell r="I198" t="str">
            <v>7920</v>
          </cell>
          <cell r="K198" t="str">
            <v>20</v>
          </cell>
          <cell r="N198" t="str">
            <v>1</v>
          </cell>
          <cell r="O198" t="str">
            <v>D</v>
          </cell>
          <cell r="S198">
            <v>0</v>
          </cell>
          <cell r="Y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I199" t="str">
            <v>7920</v>
          </cell>
          <cell r="K199" t="str">
            <v>30</v>
          </cell>
          <cell r="N199" t="str">
            <v>1</v>
          </cell>
          <cell r="O199" t="str">
            <v>D</v>
          </cell>
          <cell r="S199">
            <v>0</v>
          </cell>
          <cell r="Y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200">
          <cell r="I200" t="str">
            <v>7920</v>
          </cell>
          <cell r="K200" t="str">
            <v>30</v>
          </cell>
          <cell r="N200" t="str">
            <v>1</v>
          </cell>
          <cell r="O200" t="str">
            <v>D</v>
          </cell>
          <cell r="S200">
            <v>0</v>
          </cell>
          <cell r="Y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1">
          <cell r="I201" t="str">
            <v>3010</v>
          </cell>
          <cell r="K201" t="str">
            <v>90</v>
          </cell>
          <cell r="N201" t="str">
            <v/>
          </cell>
          <cell r="O201" t="str">
            <v>F</v>
          </cell>
          <cell r="S201">
            <v>3174000</v>
          </cell>
          <cell r="Y201">
            <v>0</v>
          </cell>
          <cell r="AB201">
            <v>0</v>
          </cell>
          <cell r="AC201">
            <v>3378000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</row>
        <row r="202">
          <cell r="I202" t="str">
            <v>3100</v>
          </cell>
          <cell r="K202" t="str">
            <v>10</v>
          </cell>
          <cell r="N202" t="str">
            <v/>
          </cell>
          <cell r="O202" t="str">
            <v>F</v>
          </cell>
          <cell r="S202">
            <v>8361161</v>
          </cell>
          <cell r="Y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7600107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</row>
        <row r="203">
          <cell r="I203" t="str">
            <v>3100</v>
          </cell>
          <cell r="K203" t="str">
            <v>10</v>
          </cell>
          <cell r="N203" t="str">
            <v>1</v>
          </cell>
          <cell r="O203" t="str">
            <v>I</v>
          </cell>
          <cell r="S203">
            <v>0</v>
          </cell>
          <cell r="Y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4">
          <cell r="I204" t="str">
            <v>3100</v>
          </cell>
          <cell r="K204" t="str">
            <v>10</v>
          </cell>
          <cell r="N204" t="str">
            <v/>
          </cell>
          <cell r="O204" t="str">
            <v>F</v>
          </cell>
          <cell r="S204">
            <v>56410698</v>
          </cell>
          <cell r="Y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12837662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</row>
        <row r="205">
          <cell r="I205" t="str">
            <v>3100</v>
          </cell>
          <cell r="K205" t="str">
            <v>10</v>
          </cell>
          <cell r="N205" t="str">
            <v>1</v>
          </cell>
          <cell r="O205" t="str">
            <v>I</v>
          </cell>
          <cell r="S205">
            <v>0</v>
          </cell>
          <cell r="Y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6">
          <cell r="I206" t="str">
            <v>3100</v>
          </cell>
          <cell r="K206" t="str">
            <v>10</v>
          </cell>
          <cell r="N206" t="str">
            <v/>
          </cell>
          <cell r="O206" t="str">
            <v>F</v>
          </cell>
          <cell r="S206">
            <v>143890050</v>
          </cell>
          <cell r="Y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82433606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7">
          <cell r="I207" t="str">
            <v>3100</v>
          </cell>
          <cell r="K207" t="str">
            <v>10</v>
          </cell>
          <cell r="N207" t="str">
            <v/>
          </cell>
          <cell r="O207" t="str">
            <v>F</v>
          </cell>
          <cell r="S207">
            <v>40020</v>
          </cell>
          <cell r="Y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10767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8">
          <cell r="I208" t="str">
            <v>3100</v>
          </cell>
          <cell r="K208" t="str">
            <v>10</v>
          </cell>
          <cell r="N208" t="str">
            <v/>
          </cell>
          <cell r="O208" t="str">
            <v>F</v>
          </cell>
          <cell r="S208">
            <v>324900</v>
          </cell>
          <cell r="Y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9">
          <cell r="I209" t="str">
            <v>3100</v>
          </cell>
          <cell r="K209" t="str">
            <v>10</v>
          </cell>
          <cell r="N209" t="str">
            <v/>
          </cell>
          <cell r="O209" t="str">
            <v>F</v>
          </cell>
          <cell r="S209">
            <v>6823430</v>
          </cell>
          <cell r="Y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5480941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10">
          <cell r="I210" t="str">
            <v>3100</v>
          </cell>
          <cell r="K210" t="str">
            <v>10</v>
          </cell>
          <cell r="N210" t="str">
            <v/>
          </cell>
          <cell r="O210" t="str">
            <v>F</v>
          </cell>
          <cell r="S210">
            <v>4900</v>
          </cell>
          <cell r="Y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2700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1">
          <cell r="I211" t="str">
            <v>3100</v>
          </cell>
          <cell r="K211" t="str">
            <v>10</v>
          </cell>
          <cell r="N211" t="str">
            <v/>
          </cell>
          <cell r="O211" t="str">
            <v>F</v>
          </cell>
          <cell r="S211">
            <v>379400</v>
          </cell>
          <cell r="Y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40941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2">
          <cell r="I212" t="str">
            <v>3100</v>
          </cell>
          <cell r="K212" t="str">
            <v>20</v>
          </cell>
          <cell r="N212" t="str">
            <v>1</v>
          </cell>
          <cell r="O212" t="str">
            <v>I</v>
          </cell>
          <cell r="S212">
            <v>0</v>
          </cell>
          <cell r="Y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3">
          <cell r="I213" t="str">
            <v>3100</v>
          </cell>
          <cell r="K213" t="str">
            <v>20</v>
          </cell>
          <cell r="N213" t="str">
            <v/>
          </cell>
          <cell r="O213" t="str">
            <v>F</v>
          </cell>
          <cell r="S213">
            <v>39390262</v>
          </cell>
          <cell r="Y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7713109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4">
          <cell r="I214" t="str">
            <v>3100</v>
          </cell>
          <cell r="K214" t="str">
            <v>20</v>
          </cell>
          <cell r="N214" t="str">
            <v/>
          </cell>
          <cell r="O214" t="str">
            <v>F</v>
          </cell>
          <cell r="S214">
            <v>687000</v>
          </cell>
          <cell r="Y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307059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5">
          <cell r="I215" t="str">
            <v>3100</v>
          </cell>
          <cell r="K215" t="str">
            <v>20</v>
          </cell>
          <cell r="N215" t="str">
            <v/>
          </cell>
          <cell r="O215" t="str">
            <v>F</v>
          </cell>
          <cell r="S215">
            <v>1116600</v>
          </cell>
          <cell r="Y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709200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6">
          <cell r="I216" t="str">
            <v>3100</v>
          </cell>
          <cell r="K216" t="str">
            <v>30</v>
          </cell>
          <cell r="N216" t="str">
            <v>1</v>
          </cell>
          <cell r="O216" t="str">
            <v>I</v>
          </cell>
          <cell r="S216">
            <v>0</v>
          </cell>
          <cell r="Y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</row>
        <row r="217">
          <cell r="I217" t="str">
            <v>7900</v>
          </cell>
          <cell r="K217" t="str">
            <v>10</v>
          </cell>
          <cell r="N217" t="str">
            <v/>
          </cell>
          <cell r="O217" t="str">
            <v>F</v>
          </cell>
          <cell r="S217">
            <v>7000184</v>
          </cell>
          <cell r="Y217">
            <v>0</v>
          </cell>
          <cell r="AB217">
            <v>8064240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104481</v>
          </cell>
          <cell r="AN217">
            <v>200042</v>
          </cell>
          <cell r="AO217">
            <v>0</v>
          </cell>
          <cell r="AP217">
            <v>50077</v>
          </cell>
          <cell r="AQ217">
            <v>196957</v>
          </cell>
          <cell r="AR217">
            <v>136958</v>
          </cell>
          <cell r="AS217">
            <v>10959</v>
          </cell>
          <cell r="AT217">
            <v>0</v>
          </cell>
          <cell r="AU217">
            <v>-120969</v>
          </cell>
          <cell r="AV217">
            <v>1337955</v>
          </cell>
          <cell r="AW217">
            <v>28316</v>
          </cell>
          <cell r="AX217">
            <v>5695</v>
          </cell>
          <cell r="AY217">
            <v>0</v>
          </cell>
          <cell r="AZ217">
            <v>0</v>
          </cell>
        </row>
        <row r="218">
          <cell r="I218" t="str">
            <v>7900</v>
          </cell>
          <cell r="K218" t="str">
            <v>10</v>
          </cell>
          <cell r="N218" t="str">
            <v/>
          </cell>
          <cell r="O218" t="str">
            <v>F</v>
          </cell>
          <cell r="S218">
            <v>11942640</v>
          </cell>
          <cell r="Y218">
            <v>0</v>
          </cell>
          <cell r="AB218">
            <v>12575309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518028</v>
          </cell>
          <cell r="AN218">
            <v>856256</v>
          </cell>
          <cell r="AO218">
            <v>0</v>
          </cell>
          <cell r="AP218">
            <v>34036</v>
          </cell>
          <cell r="AQ218">
            <v>397867</v>
          </cell>
          <cell r="AR218">
            <v>190721</v>
          </cell>
          <cell r="AS218">
            <v>4669</v>
          </cell>
          <cell r="AT218">
            <v>0</v>
          </cell>
          <cell r="AU218">
            <v>-80966</v>
          </cell>
          <cell r="AV218">
            <v>667638</v>
          </cell>
          <cell r="AW218">
            <v>66870</v>
          </cell>
          <cell r="AX218">
            <v>100953</v>
          </cell>
          <cell r="AY218">
            <v>0</v>
          </cell>
          <cell r="AZ218">
            <v>0</v>
          </cell>
        </row>
        <row r="219">
          <cell r="I219" t="str">
            <v>7920</v>
          </cell>
          <cell r="K219" t="str">
            <v>10</v>
          </cell>
          <cell r="N219" t="str">
            <v/>
          </cell>
          <cell r="O219" t="str">
            <v>F</v>
          </cell>
          <cell r="S219">
            <v>-2627136</v>
          </cell>
          <cell r="Y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20">
          <cell r="I220" t="str">
            <v>7920</v>
          </cell>
          <cell r="K220" t="str">
            <v>10</v>
          </cell>
          <cell r="N220" t="str">
            <v/>
          </cell>
          <cell r="O220" t="str">
            <v>F</v>
          </cell>
          <cell r="S220">
            <v>107420280</v>
          </cell>
          <cell r="Y220">
            <v>0</v>
          </cell>
          <cell r="AB220">
            <v>28712168</v>
          </cell>
          <cell r="AC220">
            <v>26419195</v>
          </cell>
          <cell r="AD220">
            <v>20064533</v>
          </cell>
          <cell r="AE220">
            <v>0</v>
          </cell>
          <cell r="AF220">
            <v>0</v>
          </cell>
          <cell r="AG220">
            <v>544943</v>
          </cell>
          <cell r="AH220">
            <v>2376347</v>
          </cell>
          <cell r="AI220">
            <v>224193</v>
          </cell>
          <cell r="AJ220">
            <v>0</v>
          </cell>
          <cell r="AK220">
            <v>0</v>
          </cell>
          <cell r="AL220">
            <v>0</v>
          </cell>
          <cell r="AM220">
            <v>16517448</v>
          </cell>
          <cell r="AN220">
            <v>20853322</v>
          </cell>
          <cell r="AO220">
            <v>0</v>
          </cell>
          <cell r="AP220">
            <v>286428</v>
          </cell>
          <cell r="AQ220">
            <v>8412484</v>
          </cell>
          <cell r="AR220">
            <v>5285172</v>
          </cell>
          <cell r="AS220">
            <v>26063</v>
          </cell>
          <cell r="AT220">
            <v>0</v>
          </cell>
          <cell r="AU220">
            <v>-1334494</v>
          </cell>
          <cell r="AV220">
            <v>0</v>
          </cell>
          <cell r="AW220">
            <v>2904507</v>
          </cell>
          <cell r="AX220">
            <v>58734</v>
          </cell>
          <cell r="AY220">
            <v>0</v>
          </cell>
          <cell r="AZ220">
            <v>0</v>
          </cell>
        </row>
        <row r="221">
          <cell r="I221" t="str">
            <v>7920</v>
          </cell>
          <cell r="K221" t="str">
            <v>10</v>
          </cell>
          <cell r="N221" t="str">
            <v/>
          </cell>
          <cell r="O221" t="str">
            <v>F</v>
          </cell>
          <cell r="S221">
            <v>111535</v>
          </cell>
          <cell r="Y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1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2">
          <cell r="I222" t="str">
            <v>7920</v>
          </cell>
          <cell r="K222" t="str">
            <v>20</v>
          </cell>
          <cell r="N222" t="str">
            <v/>
          </cell>
          <cell r="O222" t="str">
            <v>F</v>
          </cell>
          <cell r="S222">
            <v>-93680</v>
          </cell>
          <cell r="Y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3">
          <cell r="I223" t="str">
            <v>7920</v>
          </cell>
          <cell r="K223" t="str">
            <v>20</v>
          </cell>
          <cell r="N223" t="str">
            <v/>
          </cell>
          <cell r="O223" t="str">
            <v>F</v>
          </cell>
          <cell r="S223">
            <v>434887</v>
          </cell>
          <cell r="Y223">
            <v>0</v>
          </cell>
          <cell r="AB223">
            <v>112023</v>
          </cell>
          <cell r="AC223">
            <v>114065</v>
          </cell>
          <cell r="AD223">
            <v>78313</v>
          </cell>
          <cell r="AE223">
            <v>0</v>
          </cell>
          <cell r="AF223">
            <v>0</v>
          </cell>
          <cell r="AG223">
            <v>2018</v>
          </cell>
          <cell r="AH223">
            <v>8066</v>
          </cell>
          <cell r="AI223">
            <v>848</v>
          </cell>
          <cell r="AJ223">
            <v>0</v>
          </cell>
          <cell r="AK223">
            <v>0</v>
          </cell>
          <cell r="AL223">
            <v>0</v>
          </cell>
          <cell r="AM223">
            <v>49174</v>
          </cell>
          <cell r="AN223">
            <v>63213</v>
          </cell>
          <cell r="AO223">
            <v>0</v>
          </cell>
          <cell r="AP223">
            <v>6788</v>
          </cell>
          <cell r="AQ223">
            <v>32817</v>
          </cell>
          <cell r="AR223">
            <v>27117</v>
          </cell>
          <cell r="AS223">
            <v>109</v>
          </cell>
          <cell r="AT223">
            <v>0</v>
          </cell>
          <cell r="AU223">
            <v>-34472</v>
          </cell>
          <cell r="AV223">
            <v>0</v>
          </cell>
          <cell r="AW223">
            <v>8353</v>
          </cell>
          <cell r="AX223">
            <v>201</v>
          </cell>
          <cell r="AY223">
            <v>0</v>
          </cell>
          <cell r="AZ223">
            <v>0</v>
          </cell>
        </row>
        <row r="224">
          <cell r="I224" t="str">
            <v>7920</v>
          </cell>
          <cell r="K224" t="str">
            <v>10</v>
          </cell>
          <cell r="N224" t="str">
            <v>1</v>
          </cell>
          <cell r="O224" t="str">
            <v>D</v>
          </cell>
          <cell r="S224">
            <v>0</v>
          </cell>
          <cell r="Y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5">
          <cell r="I225" t="str">
            <v>7920</v>
          </cell>
          <cell r="K225" t="str">
            <v>10</v>
          </cell>
          <cell r="N225" t="str">
            <v>1</v>
          </cell>
          <cell r="O225" t="str">
            <v>D</v>
          </cell>
          <cell r="S225">
            <v>0</v>
          </cell>
          <cell r="Y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6">
          <cell r="I226" t="str">
            <v>7920</v>
          </cell>
          <cell r="K226" t="str">
            <v>20</v>
          </cell>
          <cell r="N226" t="str">
            <v>1</v>
          </cell>
          <cell r="O226" t="str">
            <v>D</v>
          </cell>
          <cell r="S226">
            <v>0</v>
          </cell>
          <cell r="Y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7">
          <cell r="I227" t="str">
            <v>7920</v>
          </cell>
          <cell r="K227" t="str">
            <v>10</v>
          </cell>
          <cell r="N227" t="str">
            <v/>
          </cell>
          <cell r="O227" t="str">
            <v>F</v>
          </cell>
          <cell r="S227">
            <v>49542</v>
          </cell>
          <cell r="Y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20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8">
          <cell r="I228" t="str">
            <v>7920</v>
          </cell>
          <cell r="K228" t="str">
            <v>10</v>
          </cell>
          <cell r="N228" t="str">
            <v/>
          </cell>
          <cell r="O228" t="str">
            <v>F</v>
          </cell>
          <cell r="S228">
            <v>-9390</v>
          </cell>
          <cell r="Y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9">
          <cell r="I229" t="str">
            <v>7920</v>
          </cell>
          <cell r="K229" t="str">
            <v>10</v>
          </cell>
          <cell r="N229" t="str">
            <v/>
          </cell>
          <cell r="O229" t="str">
            <v>F</v>
          </cell>
          <cell r="S229">
            <v>3465176</v>
          </cell>
          <cell r="Y229">
            <v>0</v>
          </cell>
          <cell r="AB229">
            <v>2</v>
          </cell>
          <cell r="AC229">
            <v>246713</v>
          </cell>
          <cell r="AD229">
            <v>713900</v>
          </cell>
          <cell r="AE229">
            <v>1448997</v>
          </cell>
          <cell r="AF229">
            <v>0</v>
          </cell>
          <cell r="AG229">
            <v>35001</v>
          </cell>
          <cell r="AH229">
            <v>0</v>
          </cell>
          <cell r="AI229">
            <v>12359</v>
          </cell>
          <cell r="AJ229">
            <v>0</v>
          </cell>
          <cell r="AK229">
            <v>0</v>
          </cell>
          <cell r="AL229">
            <v>0</v>
          </cell>
          <cell r="AM229">
            <v>691536</v>
          </cell>
          <cell r="AN229">
            <v>860584</v>
          </cell>
          <cell r="AO229">
            <v>0</v>
          </cell>
          <cell r="AP229">
            <v>16813</v>
          </cell>
          <cell r="AQ229">
            <v>359334</v>
          </cell>
          <cell r="AR229">
            <v>204023</v>
          </cell>
          <cell r="AS229">
            <v>2</v>
          </cell>
          <cell r="AT229">
            <v>0</v>
          </cell>
          <cell r="AU229">
            <v>-9115</v>
          </cell>
          <cell r="AV229">
            <v>17403</v>
          </cell>
          <cell r="AW229">
            <v>106736</v>
          </cell>
          <cell r="AX229">
            <v>1452</v>
          </cell>
          <cell r="AY229">
            <v>0</v>
          </cell>
          <cell r="AZ229">
            <v>0</v>
          </cell>
        </row>
        <row r="230">
          <cell r="I230" t="str">
            <v>7920</v>
          </cell>
          <cell r="K230" t="str">
            <v>20</v>
          </cell>
          <cell r="N230" t="str">
            <v/>
          </cell>
          <cell r="O230" t="str">
            <v>F</v>
          </cell>
          <cell r="S230">
            <v>-78947</v>
          </cell>
          <cell r="Y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1">
          <cell r="I231" t="str">
            <v>7920</v>
          </cell>
          <cell r="K231" t="str">
            <v>20</v>
          </cell>
          <cell r="N231" t="str">
            <v/>
          </cell>
          <cell r="O231" t="str">
            <v>F</v>
          </cell>
          <cell r="S231">
            <v>29113553</v>
          </cell>
          <cell r="Y231">
            <v>0</v>
          </cell>
          <cell r="AB231">
            <v>25</v>
          </cell>
          <cell r="AC231">
            <v>2075491</v>
          </cell>
          <cell r="AD231">
            <v>5955415</v>
          </cell>
          <cell r="AE231">
            <v>12189440</v>
          </cell>
          <cell r="AF231">
            <v>0</v>
          </cell>
          <cell r="AG231">
            <v>294288</v>
          </cell>
          <cell r="AH231">
            <v>0</v>
          </cell>
          <cell r="AI231">
            <v>103985</v>
          </cell>
          <cell r="AJ231">
            <v>0</v>
          </cell>
          <cell r="AK231">
            <v>0</v>
          </cell>
          <cell r="AL231">
            <v>0</v>
          </cell>
          <cell r="AM231">
            <v>5610386</v>
          </cell>
          <cell r="AN231">
            <v>6991752</v>
          </cell>
          <cell r="AO231">
            <v>0</v>
          </cell>
          <cell r="AP231">
            <v>116205</v>
          </cell>
          <cell r="AQ231">
            <v>2925583</v>
          </cell>
          <cell r="AR231">
            <v>1673507</v>
          </cell>
          <cell r="AS231">
            <v>5</v>
          </cell>
          <cell r="AT231">
            <v>0</v>
          </cell>
          <cell r="AU231">
            <v>-79407</v>
          </cell>
          <cell r="AV231">
            <v>147494</v>
          </cell>
          <cell r="AW231">
            <v>904437</v>
          </cell>
          <cell r="AX231">
            <v>12356</v>
          </cell>
          <cell r="AY231">
            <v>0</v>
          </cell>
          <cell r="AZ231">
            <v>0</v>
          </cell>
        </row>
        <row r="232">
          <cell r="I232" t="str">
            <v>3100</v>
          </cell>
          <cell r="K232" t="str">
            <v>10</v>
          </cell>
          <cell r="N232" t="str">
            <v>1</v>
          </cell>
          <cell r="O232" t="str">
            <v>D</v>
          </cell>
          <cell r="S232">
            <v>0</v>
          </cell>
          <cell r="Y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3">
          <cell r="I233" t="str">
            <v>3100</v>
          </cell>
          <cell r="K233" t="str">
            <v>10</v>
          </cell>
          <cell r="N233" t="str">
            <v>1</v>
          </cell>
          <cell r="O233" t="str">
            <v>D</v>
          </cell>
          <cell r="S233">
            <v>0</v>
          </cell>
          <cell r="Y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4">
          <cell r="I234" t="str">
            <v>3100</v>
          </cell>
          <cell r="K234" t="str">
            <v>10</v>
          </cell>
          <cell r="N234" t="str">
            <v>1</v>
          </cell>
          <cell r="O234" t="str">
            <v>D</v>
          </cell>
          <cell r="S234">
            <v>0</v>
          </cell>
          <cell r="Y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5">
          <cell r="I235" t="str">
            <v>3100</v>
          </cell>
          <cell r="K235" t="str">
            <v>10</v>
          </cell>
          <cell r="N235" t="str">
            <v>1</v>
          </cell>
          <cell r="O235" t="str">
            <v>D</v>
          </cell>
          <cell r="S235">
            <v>0</v>
          </cell>
          <cell r="Y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6">
          <cell r="I236" t="str">
            <v>3100</v>
          </cell>
          <cell r="K236" t="str">
            <v>10</v>
          </cell>
          <cell r="N236" t="str">
            <v>1</v>
          </cell>
          <cell r="O236" t="str">
            <v>D</v>
          </cell>
          <cell r="S236">
            <v>0</v>
          </cell>
          <cell r="Y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7">
          <cell r="I237" t="str">
            <v>3100</v>
          </cell>
          <cell r="K237" t="str">
            <v>10</v>
          </cell>
          <cell r="N237" t="str">
            <v>1</v>
          </cell>
          <cell r="O237" t="str">
            <v>D</v>
          </cell>
          <cell r="S237">
            <v>0</v>
          </cell>
          <cell r="Y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8">
          <cell r="I238" t="str">
            <v>3100</v>
          </cell>
          <cell r="K238" t="str">
            <v>10</v>
          </cell>
          <cell r="N238" t="str">
            <v>1</v>
          </cell>
          <cell r="O238" t="str">
            <v>D</v>
          </cell>
          <cell r="S238">
            <v>0</v>
          </cell>
          <cell r="Y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9">
          <cell r="I239" t="str">
            <v>3100</v>
          </cell>
          <cell r="K239" t="str">
            <v>10</v>
          </cell>
          <cell r="N239" t="str">
            <v>1</v>
          </cell>
          <cell r="O239" t="str">
            <v>D</v>
          </cell>
          <cell r="S239">
            <v>0</v>
          </cell>
          <cell r="Y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40">
          <cell r="I240" t="str">
            <v>3100</v>
          </cell>
          <cell r="K240" t="str">
            <v>10</v>
          </cell>
          <cell r="N240" t="str">
            <v>1</v>
          </cell>
          <cell r="O240" t="str">
            <v>D</v>
          </cell>
          <cell r="S240">
            <v>0</v>
          </cell>
          <cell r="Y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1">
          <cell r="I241" t="str">
            <v>3100</v>
          </cell>
          <cell r="K241" t="str">
            <v>30</v>
          </cell>
          <cell r="N241" t="str">
            <v>1</v>
          </cell>
          <cell r="O241" t="str">
            <v>D</v>
          </cell>
          <cell r="S241">
            <v>0</v>
          </cell>
          <cell r="Y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2">
          <cell r="I242" t="str">
            <v>7900</v>
          </cell>
          <cell r="K242" t="str">
            <v>10</v>
          </cell>
          <cell r="N242" t="str">
            <v>1</v>
          </cell>
          <cell r="O242" t="str">
            <v>D</v>
          </cell>
          <cell r="S242">
            <v>0</v>
          </cell>
          <cell r="Y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</row>
        <row r="243">
          <cell r="I243" t="str">
            <v>7900</v>
          </cell>
          <cell r="K243" t="str">
            <v>10</v>
          </cell>
          <cell r="N243" t="str">
            <v>1</v>
          </cell>
          <cell r="O243" t="str">
            <v>D</v>
          </cell>
          <cell r="S243">
            <v>0</v>
          </cell>
          <cell r="Y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</row>
        <row r="244">
          <cell r="I244" t="str">
            <v>7900</v>
          </cell>
          <cell r="K244" t="str">
            <v>10</v>
          </cell>
          <cell r="N244" t="str">
            <v>1</v>
          </cell>
          <cell r="O244" t="str">
            <v>D</v>
          </cell>
          <cell r="S244">
            <v>0</v>
          </cell>
          <cell r="Y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</row>
        <row r="245">
          <cell r="I245" t="str">
            <v>7900</v>
          </cell>
          <cell r="K245" t="str">
            <v>10</v>
          </cell>
          <cell r="N245" t="str">
            <v>1</v>
          </cell>
          <cell r="O245" t="str">
            <v>D</v>
          </cell>
          <cell r="S245">
            <v>0</v>
          </cell>
          <cell r="Y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</row>
        <row r="246">
          <cell r="I246" t="str">
            <v>7900</v>
          </cell>
          <cell r="K246" t="str">
            <v>10</v>
          </cell>
          <cell r="N246" t="str">
            <v>1</v>
          </cell>
          <cell r="O246" t="str">
            <v>D</v>
          </cell>
          <cell r="S246">
            <v>0</v>
          </cell>
          <cell r="Y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</row>
        <row r="247">
          <cell r="I247" t="str">
            <v>7900</v>
          </cell>
          <cell r="K247" t="str">
            <v>10</v>
          </cell>
          <cell r="N247" t="str">
            <v>1</v>
          </cell>
          <cell r="O247" t="str">
            <v>D</v>
          </cell>
          <cell r="S247">
            <v>0</v>
          </cell>
          <cell r="Y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</row>
        <row r="248">
          <cell r="I248" t="str">
            <v>7900</v>
          </cell>
          <cell r="K248" t="str">
            <v>10</v>
          </cell>
          <cell r="N248" t="str">
            <v>1</v>
          </cell>
          <cell r="O248" t="str">
            <v>D</v>
          </cell>
          <cell r="S248">
            <v>0</v>
          </cell>
          <cell r="Y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</row>
        <row r="249">
          <cell r="I249" t="str">
            <v>7920</v>
          </cell>
          <cell r="K249" t="str">
            <v>10</v>
          </cell>
          <cell r="N249" t="str">
            <v>1</v>
          </cell>
          <cell r="O249" t="str">
            <v>D</v>
          </cell>
          <cell r="S249">
            <v>0</v>
          </cell>
          <cell r="Y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</row>
        <row r="250">
          <cell r="I250" t="str">
            <v>7920</v>
          </cell>
          <cell r="K250" t="str">
            <v>30</v>
          </cell>
          <cell r="N250" t="str">
            <v>1</v>
          </cell>
          <cell r="O250" t="str">
            <v>D</v>
          </cell>
          <cell r="S250">
            <v>0</v>
          </cell>
          <cell r="Y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</row>
        <row r="251">
          <cell r="I251" t="str">
            <v>3100</v>
          </cell>
          <cell r="K251" t="str">
            <v>10</v>
          </cell>
          <cell r="N251" t="str">
            <v>1</v>
          </cell>
          <cell r="O251" t="str">
            <v>I</v>
          </cell>
          <cell r="S251">
            <v>0</v>
          </cell>
          <cell r="Y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</row>
        <row r="252">
          <cell r="I252" t="str">
            <v>3100</v>
          </cell>
          <cell r="K252" t="str">
            <v>10</v>
          </cell>
          <cell r="N252" t="str">
            <v/>
          </cell>
          <cell r="O252" t="str">
            <v>F</v>
          </cell>
          <cell r="S252">
            <v>-1813326</v>
          </cell>
          <cell r="Y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</row>
        <row r="253">
          <cell r="I253" t="str">
            <v>3100</v>
          </cell>
          <cell r="K253" t="str">
            <v>10</v>
          </cell>
          <cell r="N253" t="str">
            <v/>
          </cell>
          <cell r="O253" t="str">
            <v>F</v>
          </cell>
          <cell r="S253">
            <v>259623240</v>
          </cell>
          <cell r="Y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169384627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</row>
        <row r="254">
          <cell r="I254" t="str">
            <v>3100</v>
          </cell>
          <cell r="K254" t="str">
            <v>10</v>
          </cell>
          <cell r="N254" t="str">
            <v/>
          </cell>
          <cell r="O254" t="str">
            <v>F</v>
          </cell>
          <cell r="S254">
            <v>22030252</v>
          </cell>
          <cell r="Y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2358546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</row>
        <row r="255">
          <cell r="I255" t="str">
            <v>3100</v>
          </cell>
          <cell r="K255" t="str">
            <v>10</v>
          </cell>
          <cell r="N255" t="str">
            <v/>
          </cell>
          <cell r="O255" t="str">
            <v>F</v>
          </cell>
          <cell r="S255">
            <v>-21970</v>
          </cell>
          <cell r="Y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</row>
        <row r="256">
          <cell r="I256" t="str">
            <v>3100</v>
          </cell>
          <cell r="K256" t="str">
            <v>10</v>
          </cell>
          <cell r="N256" t="str">
            <v/>
          </cell>
          <cell r="O256" t="str">
            <v>F</v>
          </cell>
          <cell r="S256">
            <v>4554550</v>
          </cell>
          <cell r="Y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3035966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</row>
        <row r="257">
          <cell r="I257" t="str">
            <v>3100</v>
          </cell>
          <cell r="K257" t="str">
            <v>10</v>
          </cell>
          <cell r="N257" t="str">
            <v/>
          </cell>
          <cell r="O257" t="str">
            <v>F</v>
          </cell>
          <cell r="S257">
            <v>34733700</v>
          </cell>
          <cell r="Y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22602844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</row>
        <row r="258">
          <cell r="I258" t="str">
            <v>3100</v>
          </cell>
          <cell r="K258" t="str">
            <v>10</v>
          </cell>
          <cell r="N258" t="str">
            <v>1</v>
          </cell>
          <cell r="O258" t="str">
            <v>I</v>
          </cell>
          <cell r="S258">
            <v>0</v>
          </cell>
          <cell r="Y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</row>
        <row r="259">
          <cell r="I259" t="str">
            <v>3100</v>
          </cell>
          <cell r="K259" t="str">
            <v>10</v>
          </cell>
          <cell r="N259" t="str">
            <v/>
          </cell>
          <cell r="O259" t="str">
            <v>F</v>
          </cell>
          <cell r="S259">
            <v>21888000</v>
          </cell>
          <cell r="Y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14924000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</row>
        <row r="260">
          <cell r="I260" t="str">
            <v>3100</v>
          </cell>
          <cell r="K260" t="str">
            <v>10</v>
          </cell>
          <cell r="N260" t="str">
            <v/>
          </cell>
          <cell r="O260" t="str">
            <v>F</v>
          </cell>
          <cell r="S260">
            <v>162675</v>
          </cell>
          <cell r="Y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64350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</row>
        <row r="261">
          <cell r="I261" t="str">
            <v>3100</v>
          </cell>
          <cell r="K261" t="str">
            <v>10</v>
          </cell>
          <cell r="N261" t="str">
            <v/>
          </cell>
          <cell r="O261" t="str">
            <v>F</v>
          </cell>
          <cell r="S261">
            <v>58114400</v>
          </cell>
          <cell r="Y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47552000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</row>
        <row r="262">
          <cell r="I262" t="str">
            <v>3100</v>
          </cell>
          <cell r="K262" t="str">
            <v>10</v>
          </cell>
          <cell r="N262" t="str">
            <v>1</v>
          </cell>
          <cell r="O262" t="str">
            <v>I</v>
          </cell>
          <cell r="S262">
            <v>0</v>
          </cell>
          <cell r="Y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</row>
        <row r="263">
          <cell r="I263" t="str">
            <v>3100</v>
          </cell>
          <cell r="K263" t="str">
            <v>10</v>
          </cell>
          <cell r="N263" t="str">
            <v/>
          </cell>
          <cell r="O263" t="str">
            <v>F</v>
          </cell>
          <cell r="S263">
            <v>38529721</v>
          </cell>
          <cell r="Y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14359020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</row>
        <row r="264">
          <cell r="I264" t="str">
            <v>3100</v>
          </cell>
          <cell r="K264" t="str">
            <v>10</v>
          </cell>
          <cell r="N264" t="str">
            <v/>
          </cell>
          <cell r="O264" t="str">
            <v>F</v>
          </cell>
          <cell r="S264">
            <v>1582700</v>
          </cell>
          <cell r="Y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</row>
        <row r="265">
          <cell r="I265" t="str">
            <v>3100</v>
          </cell>
          <cell r="K265" t="str">
            <v>10</v>
          </cell>
          <cell r="N265" t="str">
            <v>1</v>
          </cell>
          <cell r="O265" t="str">
            <v>I</v>
          </cell>
          <cell r="S265">
            <v>0</v>
          </cell>
          <cell r="Y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</row>
        <row r="266">
          <cell r="I266" t="str">
            <v>3100</v>
          </cell>
          <cell r="K266" t="str">
            <v>10</v>
          </cell>
          <cell r="N266" t="str">
            <v/>
          </cell>
          <cell r="O266" t="str">
            <v>F</v>
          </cell>
          <cell r="S266">
            <v>37692000</v>
          </cell>
          <cell r="Y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24930000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</row>
        <row r="267">
          <cell r="I267" t="str">
            <v>3100</v>
          </cell>
          <cell r="K267" t="str">
            <v>10</v>
          </cell>
          <cell r="N267" t="str">
            <v/>
          </cell>
          <cell r="O267" t="str">
            <v>F</v>
          </cell>
          <cell r="S267">
            <v>5311200</v>
          </cell>
          <cell r="Y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3801600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</row>
        <row r="268">
          <cell r="I268" t="str">
            <v>3100</v>
          </cell>
          <cell r="K268" t="str">
            <v>30</v>
          </cell>
          <cell r="N268" t="str">
            <v>1</v>
          </cell>
          <cell r="O268" t="str">
            <v>I</v>
          </cell>
          <cell r="S268">
            <v>0</v>
          </cell>
          <cell r="Y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</row>
        <row r="269">
          <cell r="I269" t="str">
            <v>7900</v>
          </cell>
          <cell r="K269" t="str">
            <v>10</v>
          </cell>
          <cell r="N269" t="str">
            <v/>
          </cell>
          <cell r="O269" t="str">
            <v>F</v>
          </cell>
          <cell r="S269">
            <v>-2309292</v>
          </cell>
          <cell r="Y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</row>
        <row r="270">
          <cell r="I270" t="str">
            <v>7900</v>
          </cell>
          <cell r="K270" t="str">
            <v>10</v>
          </cell>
          <cell r="N270" t="str">
            <v/>
          </cell>
          <cell r="O270" t="str">
            <v>F</v>
          </cell>
          <cell r="S270">
            <v>293564030</v>
          </cell>
          <cell r="Y270">
            <v>0</v>
          </cell>
          <cell r="AB270">
            <v>256424849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26394</v>
          </cell>
          <cell r="AJ270">
            <v>0</v>
          </cell>
          <cell r="AK270">
            <v>0</v>
          </cell>
          <cell r="AL270">
            <v>0</v>
          </cell>
          <cell r="AM270">
            <v>26196038</v>
          </cell>
          <cell r="AN270">
            <v>43437734</v>
          </cell>
          <cell r="AO270">
            <v>0</v>
          </cell>
          <cell r="AP270">
            <v>764215</v>
          </cell>
          <cell r="AQ270">
            <v>18567721</v>
          </cell>
          <cell r="AR270">
            <v>7174865</v>
          </cell>
          <cell r="AS270">
            <v>12774</v>
          </cell>
          <cell r="AT270">
            <v>0</v>
          </cell>
          <cell r="AU270">
            <v>-1714520</v>
          </cell>
          <cell r="AV270">
            <v>12202984</v>
          </cell>
          <cell r="AW270">
            <v>2879827</v>
          </cell>
          <cell r="AX270">
            <v>189779</v>
          </cell>
          <cell r="AY270">
            <v>43813</v>
          </cell>
          <cell r="AZ270">
            <v>0</v>
          </cell>
        </row>
        <row r="271">
          <cell r="I271" t="str">
            <v>7900</v>
          </cell>
          <cell r="K271" t="str">
            <v>10</v>
          </cell>
          <cell r="N271" t="str">
            <v/>
          </cell>
          <cell r="O271" t="str">
            <v>F</v>
          </cell>
          <cell r="S271">
            <v>-171864</v>
          </cell>
          <cell r="Y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</row>
        <row r="272">
          <cell r="I272" t="str">
            <v>7900</v>
          </cell>
          <cell r="K272" t="str">
            <v>10</v>
          </cell>
          <cell r="N272" t="str">
            <v/>
          </cell>
          <cell r="O272" t="str">
            <v>F</v>
          </cell>
          <cell r="S272">
            <v>28802890</v>
          </cell>
          <cell r="Y272">
            <v>0</v>
          </cell>
          <cell r="AB272">
            <v>25835194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1405749</v>
          </cell>
          <cell r="AN272">
            <v>2336223</v>
          </cell>
          <cell r="AO272">
            <v>0</v>
          </cell>
          <cell r="AP272">
            <v>213305</v>
          </cell>
          <cell r="AQ272">
            <v>1262193</v>
          </cell>
          <cell r="AR272">
            <v>729513</v>
          </cell>
          <cell r="AS272">
            <v>13</v>
          </cell>
          <cell r="AT272">
            <v>0</v>
          </cell>
          <cell r="AU272">
            <v>-197884</v>
          </cell>
          <cell r="AV272">
            <v>132169</v>
          </cell>
          <cell r="AW272">
            <v>171305</v>
          </cell>
          <cell r="AX272">
            <v>15249</v>
          </cell>
          <cell r="AY272">
            <v>0</v>
          </cell>
          <cell r="AZ272">
            <v>0</v>
          </cell>
        </row>
        <row r="273">
          <cell r="I273" t="str">
            <v>7900</v>
          </cell>
          <cell r="K273" t="str">
            <v>10</v>
          </cell>
          <cell r="N273" t="str">
            <v/>
          </cell>
          <cell r="O273" t="str">
            <v>F</v>
          </cell>
          <cell r="S273">
            <v>36804254</v>
          </cell>
          <cell r="Y273">
            <v>0</v>
          </cell>
          <cell r="AB273">
            <v>31327900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2292288</v>
          </cell>
          <cell r="AN273">
            <v>3813315</v>
          </cell>
          <cell r="AO273">
            <v>0</v>
          </cell>
          <cell r="AP273">
            <v>118613</v>
          </cell>
          <cell r="AQ273">
            <v>1729228</v>
          </cell>
          <cell r="AR273">
            <v>678622</v>
          </cell>
          <cell r="AS273">
            <v>12</v>
          </cell>
          <cell r="AT273">
            <v>0</v>
          </cell>
          <cell r="AU273">
            <v>-210004</v>
          </cell>
          <cell r="AV273">
            <v>190241</v>
          </cell>
          <cell r="AW273">
            <v>239894</v>
          </cell>
          <cell r="AX273">
            <v>21239</v>
          </cell>
          <cell r="AY273">
            <v>0</v>
          </cell>
          <cell r="AZ273">
            <v>0</v>
          </cell>
        </row>
        <row r="274">
          <cell r="I274" t="str">
            <v>7900</v>
          </cell>
          <cell r="K274" t="str">
            <v>10</v>
          </cell>
          <cell r="N274" t="str">
            <v/>
          </cell>
          <cell r="O274" t="str">
            <v>F</v>
          </cell>
          <cell r="S274">
            <v>-30528</v>
          </cell>
          <cell r="Y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</row>
        <row r="275">
          <cell r="I275" t="str">
            <v>7900</v>
          </cell>
          <cell r="K275" t="str">
            <v>10</v>
          </cell>
          <cell r="N275" t="str">
            <v/>
          </cell>
          <cell r="O275" t="str">
            <v>F</v>
          </cell>
          <cell r="S275">
            <v>5106656</v>
          </cell>
          <cell r="Y275">
            <v>0</v>
          </cell>
          <cell r="AB275">
            <v>4865235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279732</v>
          </cell>
          <cell r="AN275">
            <v>471096</v>
          </cell>
          <cell r="AO275">
            <v>0</v>
          </cell>
          <cell r="AP275">
            <v>47144</v>
          </cell>
          <cell r="AQ275">
            <v>265914</v>
          </cell>
          <cell r="AR275">
            <v>148760</v>
          </cell>
          <cell r="AS275">
            <v>2</v>
          </cell>
          <cell r="AT275">
            <v>0</v>
          </cell>
          <cell r="AU275">
            <v>-37311</v>
          </cell>
          <cell r="AV275">
            <v>22914</v>
          </cell>
          <cell r="AW275">
            <v>31065</v>
          </cell>
          <cell r="AX275">
            <v>2703</v>
          </cell>
          <cell r="AY275">
            <v>0</v>
          </cell>
          <cell r="AZ275">
            <v>0</v>
          </cell>
        </row>
        <row r="276">
          <cell r="I276" t="str">
            <v>7900</v>
          </cell>
          <cell r="K276" t="str">
            <v>10</v>
          </cell>
          <cell r="N276" t="str">
            <v/>
          </cell>
          <cell r="O276" t="str">
            <v>F</v>
          </cell>
          <cell r="S276">
            <v>56523830</v>
          </cell>
          <cell r="Y276">
            <v>0</v>
          </cell>
          <cell r="AB276">
            <v>48542633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2677307</v>
          </cell>
          <cell r="AN276">
            <v>4542977</v>
          </cell>
          <cell r="AO276">
            <v>0</v>
          </cell>
          <cell r="AP276">
            <v>273409</v>
          </cell>
          <cell r="AQ276">
            <v>2439465</v>
          </cell>
          <cell r="AR276">
            <v>1164490</v>
          </cell>
          <cell r="AS276">
            <v>6879</v>
          </cell>
          <cell r="AT276">
            <v>0</v>
          </cell>
          <cell r="AU276">
            <v>-454320</v>
          </cell>
          <cell r="AV276">
            <v>274324</v>
          </cell>
          <cell r="AW276">
            <v>365049</v>
          </cell>
          <cell r="AX276">
            <v>32251</v>
          </cell>
          <cell r="AY276">
            <v>0</v>
          </cell>
          <cell r="AZ276">
            <v>0</v>
          </cell>
        </row>
        <row r="277">
          <cell r="I277" t="str">
            <v>7900</v>
          </cell>
          <cell r="K277" t="str">
            <v>10</v>
          </cell>
          <cell r="N277" t="str">
            <v/>
          </cell>
          <cell r="O277" t="str">
            <v>F</v>
          </cell>
          <cell r="S277">
            <v>11937420</v>
          </cell>
          <cell r="Y277">
            <v>0</v>
          </cell>
          <cell r="AB277">
            <v>11306463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719422</v>
          </cell>
          <cell r="AN277">
            <v>1261206</v>
          </cell>
          <cell r="AO277">
            <v>0</v>
          </cell>
          <cell r="AP277">
            <v>105137</v>
          </cell>
          <cell r="AQ277">
            <v>760413</v>
          </cell>
          <cell r="AR277">
            <v>364397</v>
          </cell>
          <cell r="AS277">
            <v>8</v>
          </cell>
          <cell r="AT277">
            <v>0</v>
          </cell>
          <cell r="AU277">
            <v>-115555</v>
          </cell>
          <cell r="AV277">
            <v>54371</v>
          </cell>
          <cell r="AW277">
            <v>93240</v>
          </cell>
          <cell r="AX277">
            <v>6713</v>
          </cell>
          <cell r="AY277">
            <v>0</v>
          </cell>
          <cell r="AZ277">
            <v>0</v>
          </cell>
        </row>
        <row r="278">
          <cell r="I278" t="str">
            <v>7900</v>
          </cell>
          <cell r="K278" t="str">
            <v>10</v>
          </cell>
          <cell r="N278" t="str">
            <v/>
          </cell>
          <cell r="O278" t="str">
            <v>F</v>
          </cell>
          <cell r="S278">
            <v>13780800</v>
          </cell>
          <cell r="Y278">
            <v>0</v>
          </cell>
          <cell r="AB278">
            <v>11975740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1095249</v>
          </cell>
          <cell r="AN278">
            <v>1783708</v>
          </cell>
          <cell r="AO278">
            <v>0</v>
          </cell>
          <cell r="AP278">
            <v>69882</v>
          </cell>
          <cell r="AQ278">
            <v>747296</v>
          </cell>
          <cell r="AR278">
            <v>333377</v>
          </cell>
          <cell r="AS278">
            <v>3</v>
          </cell>
          <cell r="AT278">
            <v>0</v>
          </cell>
          <cell r="AU278">
            <v>-38947</v>
          </cell>
          <cell r="AV278">
            <v>69048</v>
          </cell>
          <cell r="AW278">
            <v>93384</v>
          </cell>
          <cell r="AX278">
            <v>7116</v>
          </cell>
          <cell r="AY278">
            <v>0</v>
          </cell>
          <cell r="AZ278">
            <v>0</v>
          </cell>
        </row>
        <row r="279">
          <cell r="I279" t="str">
            <v>7900</v>
          </cell>
          <cell r="K279" t="str">
            <v>10</v>
          </cell>
          <cell r="N279" t="str">
            <v/>
          </cell>
          <cell r="O279" t="str">
            <v>F</v>
          </cell>
          <cell r="S279">
            <v>39329736</v>
          </cell>
          <cell r="Y279">
            <v>0</v>
          </cell>
          <cell r="AB279">
            <v>33008679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1874709</v>
          </cell>
          <cell r="AN279">
            <v>3027177</v>
          </cell>
          <cell r="AO279">
            <v>0</v>
          </cell>
          <cell r="AP279">
            <v>171332</v>
          </cell>
          <cell r="AQ279">
            <v>1387479</v>
          </cell>
          <cell r="AR279">
            <v>768374</v>
          </cell>
          <cell r="AS279">
            <v>11</v>
          </cell>
          <cell r="AT279">
            <v>0</v>
          </cell>
          <cell r="AU279">
            <v>-164073</v>
          </cell>
          <cell r="AV279">
            <v>195401</v>
          </cell>
          <cell r="AW279">
            <v>224156</v>
          </cell>
          <cell r="AX279">
            <v>20726</v>
          </cell>
          <cell r="AY279">
            <v>0</v>
          </cell>
          <cell r="AZ279">
            <v>0</v>
          </cell>
        </row>
        <row r="280">
          <cell r="I280" t="str">
            <v>7920</v>
          </cell>
          <cell r="K280" t="str">
            <v>10</v>
          </cell>
          <cell r="N280" t="str">
            <v/>
          </cell>
          <cell r="O280" t="str">
            <v>F</v>
          </cell>
          <cell r="S280">
            <v>228540</v>
          </cell>
          <cell r="Y280">
            <v>0</v>
          </cell>
          <cell r="AB280">
            <v>129287</v>
          </cell>
          <cell r="AC280">
            <v>0</v>
          </cell>
          <cell r="AD280">
            <v>92040</v>
          </cell>
          <cell r="AE280">
            <v>0</v>
          </cell>
          <cell r="AF280">
            <v>0</v>
          </cell>
          <cell r="AG280">
            <v>1620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3103</v>
          </cell>
          <cell r="AN280">
            <v>325480</v>
          </cell>
          <cell r="AO280">
            <v>364292</v>
          </cell>
          <cell r="AP280">
            <v>5206</v>
          </cell>
          <cell r="AQ280">
            <v>121627</v>
          </cell>
          <cell r="AR280">
            <v>10721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61049</v>
          </cell>
          <cell r="AX280">
            <v>148</v>
          </cell>
          <cell r="AY280">
            <v>0</v>
          </cell>
          <cell r="AZ280">
            <v>0</v>
          </cell>
        </row>
        <row r="281">
          <cell r="I281" t="str">
            <v>3100</v>
          </cell>
          <cell r="K281" t="str">
            <v>30</v>
          </cell>
          <cell r="N281" t="str">
            <v>1</v>
          </cell>
          <cell r="O281" t="str">
            <v>D</v>
          </cell>
          <cell r="S281">
            <v>0</v>
          </cell>
          <cell r="Y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</row>
        <row r="282">
          <cell r="I282" t="str">
            <v>3100</v>
          </cell>
          <cell r="K282" t="str">
            <v>30</v>
          </cell>
          <cell r="N282" t="str">
            <v>1</v>
          </cell>
          <cell r="O282" t="str">
            <v>D</v>
          </cell>
          <cell r="S282">
            <v>0</v>
          </cell>
          <cell r="Y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</row>
        <row r="283">
          <cell r="I283" t="str">
            <v>7920</v>
          </cell>
          <cell r="K283" t="str">
            <v>10</v>
          </cell>
          <cell r="N283" t="str">
            <v>1</v>
          </cell>
          <cell r="O283" t="str">
            <v>D</v>
          </cell>
          <cell r="S283">
            <v>0</v>
          </cell>
          <cell r="Y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</row>
        <row r="284">
          <cell r="I284" t="str">
            <v>7920</v>
          </cell>
          <cell r="K284" t="str">
            <v>10</v>
          </cell>
          <cell r="N284" t="str">
            <v>1</v>
          </cell>
          <cell r="O284" t="str">
            <v>D</v>
          </cell>
          <cell r="S284">
            <v>0</v>
          </cell>
          <cell r="Y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</row>
        <row r="285">
          <cell r="I285" t="str">
            <v>7920</v>
          </cell>
          <cell r="K285" t="str">
            <v>20</v>
          </cell>
          <cell r="N285" t="str">
            <v>1</v>
          </cell>
          <cell r="O285" t="str">
            <v>D</v>
          </cell>
          <cell r="S285">
            <v>0</v>
          </cell>
          <cell r="Y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</row>
        <row r="286">
          <cell r="I286" t="str">
            <v>7920</v>
          </cell>
          <cell r="K286" t="str">
            <v>10</v>
          </cell>
          <cell r="N286" t="str">
            <v>1</v>
          </cell>
          <cell r="O286" t="str">
            <v>D</v>
          </cell>
          <cell r="S286">
            <v>0</v>
          </cell>
          <cell r="Y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</row>
        <row r="287">
          <cell r="I287" t="str">
            <v>7920</v>
          </cell>
          <cell r="K287" t="str">
            <v>20</v>
          </cell>
          <cell r="N287" t="str">
            <v>1</v>
          </cell>
          <cell r="O287" t="str">
            <v>D</v>
          </cell>
          <cell r="S287">
            <v>0</v>
          </cell>
          <cell r="Y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</row>
        <row r="288">
          <cell r="I288" t="str">
            <v>3100</v>
          </cell>
          <cell r="K288" t="str">
            <v>30</v>
          </cell>
          <cell r="N288" t="str">
            <v>1</v>
          </cell>
          <cell r="O288" t="str">
            <v>I</v>
          </cell>
          <cell r="S288">
            <v>0</v>
          </cell>
          <cell r="Y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</row>
        <row r="289">
          <cell r="I289" t="str">
            <v>7920</v>
          </cell>
          <cell r="K289" t="str">
            <v>10</v>
          </cell>
          <cell r="N289" t="str">
            <v/>
          </cell>
          <cell r="O289" t="str">
            <v>F</v>
          </cell>
          <cell r="S289">
            <v>231600</v>
          </cell>
          <cell r="Y289">
            <v>0</v>
          </cell>
          <cell r="AB289">
            <v>185213</v>
          </cell>
          <cell r="AC289">
            <v>0</v>
          </cell>
          <cell r="AD289">
            <v>4960</v>
          </cell>
          <cell r="AE289">
            <v>78122</v>
          </cell>
          <cell r="AF289">
            <v>0</v>
          </cell>
          <cell r="AG289">
            <v>2060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6278</v>
          </cell>
          <cell r="AN289">
            <v>261813</v>
          </cell>
          <cell r="AO289">
            <v>287314</v>
          </cell>
          <cell r="AP289">
            <v>10545</v>
          </cell>
          <cell r="AQ289">
            <v>104300</v>
          </cell>
          <cell r="AR289">
            <v>21687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48150</v>
          </cell>
          <cell r="AX289">
            <v>0</v>
          </cell>
          <cell r="AY289">
            <v>0</v>
          </cell>
          <cell r="AZ289">
            <v>0</v>
          </cell>
        </row>
        <row r="290">
          <cell r="I290" t="str">
            <v>7920</v>
          </cell>
          <cell r="K290" t="str">
            <v>10</v>
          </cell>
          <cell r="N290" t="str">
            <v/>
          </cell>
          <cell r="O290" t="str">
            <v>F</v>
          </cell>
          <cell r="S290">
            <v>-243000</v>
          </cell>
          <cell r="Y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</row>
        <row r="291">
          <cell r="I291" t="str">
            <v>7920</v>
          </cell>
          <cell r="K291" t="str">
            <v>10</v>
          </cell>
          <cell r="N291" t="str">
            <v/>
          </cell>
          <cell r="O291" t="str">
            <v>F</v>
          </cell>
          <cell r="S291">
            <v>6896</v>
          </cell>
          <cell r="Y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</row>
        <row r="292">
          <cell r="I292" t="str">
            <v>7920</v>
          </cell>
          <cell r="K292" t="str">
            <v>10</v>
          </cell>
          <cell r="N292" t="str">
            <v/>
          </cell>
          <cell r="O292" t="str">
            <v>F</v>
          </cell>
          <cell r="S292">
            <v>34111029</v>
          </cell>
          <cell r="Y292">
            <v>0</v>
          </cell>
          <cell r="AB292">
            <v>5020416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13433802</v>
          </cell>
          <cell r="AJ292">
            <v>0</v>
          </cell>
          <cell r="AK292">
            <v>3018915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</row>
        <row r="293">
          <cell r="I293" t="str">
            <v>7920</v>
          </cell>
          <cell r="K293" t="str">
            <v>20</v>
          </cell>
          <cell r="N293" t="str">
            <v/>
          </cell>
          <cell r="O293" t="str">
            <v>F</v>
          </cell>
          <cell r="S293">
            <v>-65296</v>
          </cell>
          <cell r="Y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</row>
        <row r="294">
          <cell r="I294" t="str">
            <v>7920</v>
          </cell>
          <cell r="K294" t="str">
            <v>20</v>
          </cell>
          <cell r="N294" t="str">
            <v/>
          </cell>
          <cell r="O294" t="str">
            <v>F</v>
          </cell>
          <cell r="S294">
            <v>17393872</v>
          </cell>
          <cell r="Y294">
            <v>0</v>
          </cell>
          <cell r="AB294">
            <v>2756705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6915310</v>
          </cell>
          <cell r="AJ294">
            <v>0</v>
          </cell>
          <cell r="AK294">
            <v>1294770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</row>
        <row r="295">
          <cell r="I295" t="str">
            <v>7920</v>
          </cell>
          <cell r="K295" t="str">
            <v>10</v>
          </cell>
          <cell r="N295" t="str">
            <v/>
          </cell>
          <cell r="O295" t="str">
            <v>F</v>
          </cell>
          <cell r="S295">
            <v>-19458</v>
          </cell>
          <cell r="Y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</row>
        <row r="296">
          <cell r="I296" t="str">
            <v>7920</v>
          </cell>
          <cell r="K296" t="str">
            <v>10</v>
          </cell>
          <cell r="N296" t="str">
            <v/>
          </cell>
          <cell r="O296" t="str">
            <v>F</v>
          </cell>
          <cell r="S296">
            <v>7173568</v>
          </cell>
          <cell r="Y296">
            <v>0</v>
          </cell>
          <cell r="AB296">
            <v>806165</v>
          </cell>
          <cell r="AC296">
            <v>0</v>
          </cell>
          <cell r="AD296">
            <v>1598767</v>
          </cell>
          <cell r="AE296">
            <v>2422147</v>
          </cell>
          <cell r="AF296">
            <v>0</v>
          </cell>
          <cell r="AG296">
            <v>271114</v>
          </cell>
          <cell r="AH296">
            <v>5953</v>
          </cell>
          <cell r="AI296">
            <v>29807</v>
          </cell>
          <cell r="AJ296">
            <v>0</v>
          </cell>
          <cell r="AK296">
            <v>0</v>
          </cell>
          <cell r="AL296">
            <v>0</v>
          </cell>
          <cell r="AM296">
            <v>1352144</v>
          </cell>
          <cell r="AN296">
            <v>1717610</v>
          </cell>
          <cell r="AO296">
            <v>0</v>
          </cell>
          <cell r="AP296">
            <v>25715</v>
          </cell>
          <cell r="AQ296">
            <v>725006</v>
          </cell>
          <cell r="AR296">
            <v>434379</v>
          </cell>
          <cell r="AS296">
            <v>6</v>
          </cell>
          <cell r="AT296">
            <v>0</v>
          </cell>
          <cell r="AU296">
            <v>-32622</v>
          </cell>
          <cell r="AV296">
            <v>38426</v>
          </cell>
          <cell r="AW296">
            <v>238833</v>
          </cell>
          <cell r="AX296">
            <v>4007</v>
          </cell>
          <cell r="AY296">
            <v>0</v>
          </cell>
          <cell r="AZ296">
            <v>0</v>
          </cell>
        </row>
        <row r="297">
          <cell r="I297" t="str">
            <v>7920</v>
          </cell>
          <cell r="K297" t="str">
            <v>20</v>
          </cell>
          <cell r="N297" t="str">
            <v/>
          </cell>
          <cell r="O297" t="str">
            <v>F</v>
          </cell>
          <cell r="S297">
            <v>-165746</v>
          </cell>
          <cell r="Y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</row>
        <row r="298">
          <cell r="I298" t="str">
            <v>7920</v>
          </cell>
          <cell r="K298" t="str">
            <v>20</v>
          </cell>
          <cell r="N298" t="str">
            <v/>
          </cell>
          <cell r="O298" t="str">
            <v>F</v>
          </cell>
          <cell r="S298">
            <v>60714201</v>
          </cell>
          <cell r="Y298">
            <v>0</v>
          </cell>
          <cell r="AB298">
            <v>6826135</v>
          </cell>
          <cell r="AC298">
            <v>0</v>
          </cell>
          <cell r="AD298">
            <v>13529748</v>
          </cell>
          <cell r="AE298">
            <v>20501940</v>
          </cell>
          <cell r="AF298">
            <v>0</v>
          </cell>
          <cell r="AG298">
            <v>2283162</v>
          </cell>
          <cell r="AH298">
            <v>50380</v>
          </cell>
          <cell r="AI298">
            <v>252276</v>
          </cell>
          <cell r="AJ298">
            <v>0</v>
          </cell>
          <cell r="AK298">
            <v>0</v>
          </cell>
          <cell r="AL298">
            <v>0</v>
          </cell>
          <cell r="AM298">
            <v>11443000</v>
          </cell>
          <cell r="AN298">
            <v>14534240</v>
          </cell>
          <cell r="AO298">
            <v>0</v>
          </cell>
          <cell r="AP298">
            <v>222490</v>
          </cell>
          <cell r="AQ298">
            <v>6135422</v>
          </cell>
          <cell r="AR298">
            <v>3681036</v>
          </cell>
          <cell r="AS298">
            <v>14</v>
          </cell>
          <cell r="AT298">
            <v>0</v>
          </cell>
          <cell r="AU298">
            <v>-276237</v>
          </cell>
          <cell r="AV298">
            <v>324627</v>
          </cell>
          <cell r="AW298">
            <v>2017674</v>
          </cell>
          <cell r="AX298">
            <v>33904</v>
          </cell>
          <cell r="AY298">
            <v>0</v>
          </cell>
          <cell r="AZ298">
            <v>0</v>
          </cell>
        </row>
        <row r="299">
          <cell r="I299" t="str">
            <v>7920</v>
          </cell>
          <cell r="K299" t="str">
            <v>10</v>
          </cell>
          <cell r="N299" t="str">
            <v>1</v>
          </cell>
          <cell r="O299" t="str">
            <v>D</v>
          </cell>
          <cell r="S299">
            <v>0</v>
          </cell>
          <cell r="Y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</row>
        <row r="300">
          <cell r="I300" t="str">
            <v>7920</v>
          </cell>
          <cell r="K300" t="str">
            <v>20</v>
          </cell>
          <cell r="N300" t="str">
            <v>1</v>
          </cell>
          <cell r="O300" t="str">
            <v>D</v>
          </cell>
          <cell r="S300">
            <v>0</v>
          </cell>
          <cell r="Y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</row>
        <row r="301">
          <cell r="I301" t="str">
            <v>7920</v>
          </cell>
          <cell r="K301" t="str">
            <v>10</v>
          </cell>
          <cell r="N301" t="str">
            <v/>
          </cell>
          <cell r="O301" t="str">
            <v>F</v>
          </cell>
          <cell r="S301">
            <v>185670</v>
          </cell>
          <cell r="Y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</row>
        <row r="302">
          <cell r="I302" t="str">
            <v>7920</v>
          </cell>
          <cell r="K302" t="str">
            <v>10</v>
          </cell>
          <cell r="N302" t="str">
            <v/>
          </cell>
          <cell r="O302" t="str">
            <v>F</v>
          </cell>
          <cell r="S302">
            <v>4935798</v>
          </cell>
          <cell r="Y302">
            <v>0</v>
          </cell>
          <cell r="AB302">
            <v>2138474</v>
          </cell>
          <cell r="AC302">
            <v>53581</v>
          </cell>
          <cell r="AD302">
            <v>745674</v>
          </cell>
          <cell r="AE302">
            <v>0</v>
          </cell>
          <cell r="AF302">
            <v>0</v>
          </cell>
          <cell r="AG302">
            <v>405615</v>
          </cell>
          <cell r="AH302">
            <v>11410</v>
          </cell>
          <cell r="AI302">
            <v>27505</v>
          </cell>
          <cell r="AJ302">
            <v>0</v>
          </cell>
          <cell r="AK302">
            <v>0</v>
          </cell>
          <cell r="AL302">
            <v>0</v>
          </cell>
          <cell r="AM302">
            <v>1187797</v>
          </cell>
          <cell r="AN302">
            <v>1512670</v>
          </cell>
          <cell r="AO302">
            <v>0</v>
          </cell>
          <cell r="AP302">
            <v>73989</v>
          </cell>
          <cell r="AQ302">
            <v>681675</v>
          </cell>
          <cell r="AR302">
            <v>337017</v>
          </cell>
          <cell r="AS302">
            <v>1</v>
          </cell>
          <cell r="AT302">
            <v>0</v>
          </cell>
          <cell r="AU302">
            <v>-13534</v>
          </cell>
          <cell r="AV302">
            <v>18724</v>
          </cell>
          <cell r="AW302">
            <v>116327</v>
          </cell>
          <cell r="AX302">
            <v>1962</v>
          </cell>
          <cell r="AY302">
            <v>0</v>
          </cell>
          <cell r="AZ302">
            <v>0</v>
          </cell>
        </row>
        <row r="303">
          <cell r="I303" t="str">
            <v>7920</v>
          </cell>
          <cell r="K303" t="str">
            <v>20</v>
          </cell>
          <cell r="N303" t="str">
            <v/>
          </cell>
          <cell r="O303" t="str">
            <v>F</v>
          </cell>
          <cell r="S303">
            <v>993501</v>
          </cell>
          <cell r="Y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</row>
        <row r="304">
          <cell r="I304" t="str">
            <v>7920</v>
          </cell>
          <cell r="K304" t="str">
            <v>20</v>
          </cell>
          <cell r="N304" t="str">
            <v/>
          </cell>
          <cell r="O304" t="str">
            <v>F</v>
          </cell>
          <cell r="S304">
            <v>46968427</v>
          </cell>
          <cell r="Y304">
            <v>0</v>
          </cell>
          <cell r="AB304">
            <v>13406245</v>
          </cell>
          <cell r="AC304">
            <v>534890</v>
          </cell>
          <cell r="AD304">
            <v>9035451</v>
          </cell>
          <cell r="AE304">
            <v>0</v>
          </cell>
          <cell r="AF304">
            <v>0</v>
          </cell>
          <cell r="AG304">
            <v>3825177</v>
          </cell>
          <cell r="AH304">
            <v>108277</v>
          </cell>
          <cell r="AI304">
            <v>260871</v>
          </cell>
          <cell r="AJ304">
            <v>0</v>
          </cell>
          <cell r="AK304">
            <v>0</v>
          </cell>
          <cell r="AL304">
            <v>0</v>
          </cell>
          <cell r="AM304">
            <v>11501921</v>
          </cell>
          <cell r="AN304">
            <v>14743092</v>
          </cell>
          <cell r="AO304">
            <v>0</v>
          </cell>
          <cell r="AP304">
            <v>368738</v>
          </cell>
          <cell r="AQ304">
            <v>6384137</v>
          </cell>
          <cell r="AR304">
            <v>2650369</v>
          </cell>
          <cell r="AS304">
            <v>3972</v>
          </cell>
          <cell r="AT304">
            <v>0</v>
          </cell>
          <cell r="AU304">
            <v>-177517</v>
          </cell>
          <cell r="AV304">
            <v>187440</v>
          </cell>
          <cell r="AW304">
            <v>1191317</v>
          </cell>
          <cell r="AX304">
            <v>21286</v>
          </cell>
          <cell r="AY304">
            <v>0</v>
          </cell>
          <cell r="AZ304">
            <v>0</v>
          </cell>
        </row>
        <row r="305">
          <cell r="I305" t="str">
            <v>3100</v>
          </cell>
          <cell r="K305" t="str">
            <v>10</v>
          </cell>
          <cell r="N305" t="str">
            <v>1</v>
          </cell>
          <cell r="O305" t="str">
            <v>D</v>
          </cell>
          <cell r="S305">
            <v>0</v>
          </cell>
          <cell r="Y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</row>
        <row r="306">
          <cell r="I306" t="str">
            <v>3100</v>
          </cell>
          <cell r="K306" t="str">
            <v>10</v>
          </cell>
          <cell r="N306" t="str">
            <v>1</v>
          </cell>
          <cell r="O306" t="str">
            <v>D</v>
          </cell>
          <cell r="S306">
            <v>0</v>
          </cell>
          <cell r="Y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</row>
        <row r="307">
          <cell r="I307" t="str">
            <v>3100</v>
          </cell>
          <cell r="K307" t="str">
            <v>30</v>
          </cell>
          <cell r="N307" t="str">
            <v>1</v>
          </cell>
          <cell r="O307" t="str">
            <v>D</v>
          </cell>
          <cell r="S307">
            <v>0</v>
          </cell>
          <cell r="Y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</row>
        <row r="308">
          <cell r="I308" t="str">
            <v>3100</v>
          </cell>
          <cell r="K308" t="str">
            <v>30</v>
          </cell>
          <cell r="N308" t="str">
            <v>1</v>
          </cell>
          <cell r="O308" t="str">
            <v>D</v>
          </cell>
          <cell r="S308">
            <v>0</v>
          </cell>
          <cell r="Y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</row>
        <row r="309">
          <cell r="I309" t="str">
            <v>3100</v>
          </cell>
          <cell r="K309" t="str">
            <v>30</v>
          </cell>
          <cell r="N309" t="str">
            <v>1</v>
          </cell>
          <cell r="O309" t="str">
            <v>D</v>
          </cell>
          <cell r="S309">
            <v>0</v>
          </cell>
          <cell r="Y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</row>
        <row r="310">
          <cell r="I310" t="str">
            <v>3100</v>
          </cell>
          <cell r="K310" t="str">
            <v>30</v>
          </cell>
          <cell r="N310" t="str">
            <v>1</v>
          </cell>
          <cell r="O310" t="str">
            <v>D</v>
          </cell>
          <cell r="S310">
            <v>0</v>
          </cell>
          <cell r="Y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</row>
        <row r="311">
          <cell r="I311" t="str">
            <v>3100</v>
          </cell>
          <cell r="K311" t="str">
            <v>30</v>
          </cell>
          <cell r="N311" t="str">
            <v>1</v>
          </cell>
          <cell r="O311" t="str">
            <v>D</v>
          </cell>
          <cell r="S311">
            <v>0</v>
          </cell>
          <cell r="Y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</row>
        <row r="312">
          <cell r="I312" t="str">
            <v>3100</v>
          </cell>
          <cell r="K312" t="str">
            <v>30</v>
          </cell>
          <cell r="N312" t="str">
            <v>1</v>
          </cell>
          <cell r="O312" t="str">
            <v>D</v>
          </cell>
          <cell r="S312">
            <v>0</v>
          </cell>
          <cell r="Y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</row>
        <row r="313">
          <cell r="I313" t="str">
            <v>3100</v>
          </cell>
          <cell r="K313" t="str">
            <v>30</v>
          </cell>
          <cell r="N313" t="str">
            <v>1</v>
          </cell>
          <cell r="O313" t="str">
            <v>D</v>
          </cell>
          <cell r="S313">
            <v>0</v>
          </cell>
          <cell r="Y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</row>
        <row r="314">
          <cell r="I314" t="str">
            <v>7900</v>
          </cell>
          <cell r="K314" t="str">
            <v>30</v>
          </cell>
          <cell r="N314" t="str">
            <v>1</v>
          </cell>
          <cell r="O314" t="str">
            <v>D</v>
          </cell>
          <cell r="S314">
            <v>0</v>
          </cell>
          <cell r="Y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</row>
        <row r="315">
          <cell r="I315" t="str">
            <v>7920</v>
          </cell>
          <cell r="K315" t="str">
            <v>10</v>
          </cell>
          <cell r="N315" t="str">
            <v>1</v>
          </cell>
          <cell r="O315" t="str">
            <v>D</v>
          </cell>
          <cell r="S315">
            <v>0</v>
          </cell>
          <cell r="Y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</row>
        <row r="316">
          <cell r="I316" t="str">
            <v>7920</v>
          </cell>
          <cell r="K316" t="str">
            <v>10</v>
          </cell>
          <cell r="N316" t="str">
            <v>1</v>
          </cell>
          <cell r="O316" t="str">
            <v>D</v>
          </cell>
          <cell r="S316">
            <v>0</v>
          </cell>
          <cell r="Y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</row>
        <row r="317">
          <cell r="I317" t="str">
            <v>7920</v>
          </cell>
          <cell r="K317" t="str">
            <v>10</v>
          </cell>
          <cell r="N317" t="str">
            <v>1</v>
          </cell>
          <cell r="O317" t="str">
            <v>D</v>
          </cell>
          <cell r="S317">
            <v>0</v>
          </cell>
          <cell r="Y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</row>
        <row r="318">
          <cell r="I318" t="str">
            <v>7920</v>
          </cell>
          <cell r="K318" t="str">
            <v>20</v>
          </cell>
          <cell r="N318" t="str">
            <v>1</v>
          </cell>
          <cell r="O318" t="str">
            <v>D</v>
          </cell>
          <cell r="S318">
            <v>0</v>
          </cell>
          <cell r="Y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</row>
        <row r="319">
          <cell r="I319" t="str">
            <v>7920</v>
          </cell>
          <cell r="K319" t="str">
            <v>30</v>
          </cell>
          <cell r="N319" t="str">
            <v>1</v>
          </cell>
          <cell r="O319" t="str">
            <v>D</v>
          </cell>
          <cell r="S319">
            <v>0</v>
          </cell>
          <cell r="Y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</row>
        <row r="320">
          <cell r="I320" t="str">
            <v>7920</v>
          </cell>
          <cell r="K320" t="str">
            <v>30</v>
          </cell>
          <cell r="N320" t="str">
            <v>1</v>
          </cell>
          <cell r="O320" t="str">
            <v>D</v>
          </cell>
          <cell r="S320">
            <v>0</v>
          </cell>
          <cell r="Y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</row>
        <row r="321">
          <cell r="I321" t="str">
            <v>7920</v>
          </cell>
          <cell r="K321" t="str">
            <v>30</v>
          </cell>
          <cell r="N321" t="str">
            <v>1</v>
          </cell>
          <cell r="O321" t="str">
            <v>D</v>
          </cell>
          <cell r="S321">
            <v>0</v>
          </cell>
          <cell r="Y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</row>
        <row r="322">
          <cell r="I322" t="str">
            <v>3100</v>
          </cell>
          <cell r="K322" t="str">
            <v>10</v>
          </cell>
          <cell r="N322" t="str">
            <v/>
          </cell>
          <cell r="O322" t="str">
            <v>F</v>
          </cell>
          <cell r="S322">
            <v>-5500</v>
          </cell>
          <cell r="Y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</row>
        <row r="323">
          <cell r="I323" t="str">
            <v>3100</v>
          </cell>
          <cell r="K323" t="str">
            <v>10</v>
          </cell>
          <cell r="N323" t="str">
            <v/>
          </cell>
          <cell r="O323" t="str">
            <v>F</v>
          </cell>
          <cell r="S323">
            <v>1485000</v>
          </cell>
          <cell r="Y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</row>
        <row r="324">
          <cell r="I324" t="str">
            <v>3100</v>
          </cell>
          <cell r="K324" t="str">
            <v>10</v>
          </cell>
          <cell r="N324" t="str">
            <v/>
          </cell>
          <cell r="O324" t="str">
            <v>F</v>
          </cell>
          <cell r="S324">
            <v>1695400</v>
          </cell>
          <cell r="Y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799680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</row>
        <row r="325">
          <cell r="I325" t="str">
            <v>3100</v>
          </cell>
          <cell r="K325" t="str">
            <v>30</v>
          </cell>
          <cell r="N325" t="str">
            <v>1</v>
          </cell>
          <cell r="O325" t="str">
            <v>I</v>
          </cell>
          <cell r="S325">
            <v>0</v>
          </cell>
          <cell r="Y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</row>
        <row r="326">
          <cell r="I326" t="str">
            <v>3100</v>
          </cell>
          <cell r="K326" t="str">
            <v>30</v>
          </cell>
          <cell r="N326" t="str">
            <v>1</v>
          </cell>
          <cell r="O326" t="str">
            <v>I</v>
          </cell>
          <cell r="S326">
            <v>0</v>
          </cell>
          <cell r="Y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</row>
        <row r="327">
          <cell r="I327" t="str">
            <v>3100</v>
          </cell>
          <cell r="K327" t="str">
            <v>30</v>
          </cell>
          <cell r="N327" t="str">
            <v>1</v>
          </cell>
          <cell r="O327" t="str">
            <v>I</v>
          </cell>
          <cell r="S327">
            <v>0</v>
          </cell>
          <cell r="Y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</row>
        <row r="328">
          <cell r="I328" t="str">
            <v>7920</v>
          </cell>
          <cell r="K328" t="str">
            <v>10</v>
          </cell>
          <cell r="N328" t="str">
            <v/>
          </cell>
          <cell r="O328" t="str">
            <v>F</v>
          </cell>
          <cell r="S328">
            <v>459358</v>
          </cell>
          <cell r="Y328">
            <v>0</v>
          </cell>
          <cell r="AB328">
            <v>431572</v>
          </cell>
          <cell r="AC328">
            <v>1441</v>
          </cell>
          <cell r="AD328">
            <v>70898</v>
          </cell>
          <cell r="AE328">
            <v>0</v>
          </cell>
          <cell r="AF328">
            <v>0</v>
          </cell>
          <cell r="AG328">
            <v>2947</v>
          </cell>
          <cell r="AH328">
            <v>9744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10055</v>
          </cell>
          <cell r="AN328">
            <v>758142</v>
          </cell>
          <cell r="AO328">
            <v>844271</v>
          </cell>
          <cell r="AP328">
            <v>16875</v>
          </cell>
          <cell r="AQ328">
            <v>288152</v>
          </cell>
          <cell r="AR328">
            <v>34755</v>
          </cell>
          <cell r="AS328">
            <v>0</v>
          </cell>
          <cell r="AT328">
            <v>0</v>
          </cell>
          <cell r="AU328">
            <v>0</v>
          </cell>
          <cell r="AV328">
            <v>29748</v>
          </cell>
          <cell r="AW328">
            <v>141485</v>
          </cell>
          <cell r="AX328">
            <v>344</v>
          </cell>
          <cell r="AY328">
            <v>0</v>
          </cell>
          <cell r="AZ328">
            <v>0</v>
          </cell>
        </row>
        <row r="329">
          <cell r="I329" t="str">
            <v>7920</v>
          </cell>
          <cell r="K329" t="str">
            <v>10</v>
          </cell>
          <cell r="N329" t="str">
            <v/>
          </cell>
          <cell r="O329" t="str">
            <v>F</v>
          </cell>
          <cell r="S329">
            <v>119712</v>
          </cell>
          <cell r="Y329">
            <v>0</v>
          </cell>
          <cell r="AB329">
            <v>97618</v>
          </cell>
          <cell r="AC329">
            <v>360</v>
          </cell>
          <cell r="AD329">
            <v>18399</v>
          </cell>
          <cell r="AE329">
            <v>0</v>
          </cell>
          <cell r="AF329">
            <v>0</v>
          </cell>
          <cell r="AG329">
            <v>827</v>
          </cell>
          <cell r="AH329">
            <v>4226</v>
          </cell>
          <cell r="AI329">
            <v>64</v>
          </cell>
          <cell r="AJ329">
            <v>0</v>
          </cell>
          <cell r="AK329">
            <v>0</v>
          </cell>
          <cell r="AL329">
            <v>0</v>
          </cell>
          <cell r="AM329">
            <v>4274</v>
          </cell>
          <cell r="AN329">
            <v>53013</v>
          </cell>
          <cell r="AO329">
            <v>52603</v>
          </cell>
          <cell r="AP329">
            <v>2773</v>
          </cell>
          <cell r="AQ329">
            <v>22355</v>
          </cell>
          <cell r="AR329">
            <v>6287</v>
          </cell>
          <cell r="AS329">
            <v>0</v>
          </cell>
          <cell r="AT329">
            <v>0</v>
          </cell>
          <cell r="AU329">
            <v>-235</v>
          </cell>
          <cell r="AV329">
            <v>9</v>
          </cell>
          <cell r="AW329">
            <v>9184</v>
          </cell>
          <cell r="AX329">
            <v>70</v>
          </cell>
          <cell r="AY329">
            <v>32</v>
          </cell>
          <cell r="AZ329">
            <v>0</v>
          </cell>
        </row>
        <row r="330">
          <cell r="I330" t="str">
            <v>7920</v>
          </cell>
          <cell r="K330" t="str">
            <v>10</v>
          </cell>
          <cell r="N330" t="str">
            <v/>
          </cell>
          <cell r="O330" t="str">
            <v>F</v>
          </cell>
          <cell r="S330">
            <v>118158</v>
          </cell>
          <cell r="Y330">
            <v>0</v>
          </cell>
          <cell r="AB330">
            <v>61194</v>
          </cell>
          <cell r="AC330">
            <v>22600</v>
          </cell>
          <cell r="AD330">
            <v>17708</v>
          </cell>
          <cell r="AE330">
            <v>0</v>
          </cell>
          <cell r="AF330">
            <v>0</v>
          </cell>
          <cell r="AG330">
            <v>1120</v>
          </cell>
          <cell r="AH330">
            <v>1970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907</v>
          </cell>
          <cell r="AN330">
            <v>96274</v>
          </cell>
          <cell r="AO330">
            <v>107770</v>
          </cell>
          <cell r="AP330">
            <v>1523</v>
          </cell>
          <cell r="AQ330">
            <v>35958</v>
          </cell>
          <cell r="AR330">
            <v>3136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18061</v>
          </cell>
          <cell r="AX330">
            <v>0</v>
          </cell>
          <cell r="AY330">
            <v>0</v>
          </cell>
          <cell r="AZ330">
            <v>0</v>
          </cell>
        </row>
        <row r="331">
          <cell r="I331" t="str">
            <v>7920</v>
          </cell>
          <cell r="K331" t="str">
            <v>20</v>
          </cell>
          <cell r="N331" t="str">
            <v/>
          </cell>
          <cell r="O331" t="str">
            <v>F</v>
          </cell>
          <cell r="S331">
            <v>60</v>
          </cell>
          <cell r="Y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</row>
        <row r="332">
          <cell r="I332" t="str">
            <v>7920</v>
          </cell>
          <cell r="K332" t="str">
            <v>20</v>
          </cell>
          <cell r="N332" t="str">
            <v/>
          </cell>
          <cell r="O332" t="str">
            <v>F</v>
          </cell>
          <cell r="S332">
            <v>7017840</v>
          </cell>
          <cell r="Y332">
            <v>0</v>
          </cell>
          <cell r="AB332">
            <v>5517472</v>
          </cell>
          <cell r="AC332">
            <v>21613</v>
          </cell>
          <cell r="AD332">
            <v>1054884</v>
          </cell>
          <cell r="AE332">
            <v>0</v>
          </cell>
          <cell r="AF332">
            <v>0</v>
          </cell>
          <cell r="AG332">
            <v>60134</v>
          </cell>
          <cell r="AH332">
            <v>227160</v>
          </cell>
          <cell r="AI332">
            <v>3888</v>
          </cell>
          <cell r="AJ332">
            <v>0</v>
          </cell>
          <cell r="AK332">
            <v>0</v>
          </cell>
          <cell r="AL332">
            <v>0</v>
          </cell>
          <cell r="AM332">
            <v>257707</v>
          </cell>
          <cell r="AN332">
            <v>3224739</v>
          </cell>
          <cell r="AO332">
            <v>3194643</v>
          </cell>
          <cell r="AP332">
            <v>147426</v>
          </cell>
          <cell r="AQ332">
            <v>1342260</v>
          </cell>
          <cell r="AR332">
            <v>341459</v>
          </cell>
          <cell r="AS332">
            <v>1</v>
          </cell>
          <cell r="AT332">
            <v>0</v>
          </cell>
          <cell r="AU332">
            <v>-21173</v>
          </cell>
          <cell r="AV332">
            <v>789</v>
          </cell>
          <cell r="AW332">
            <v>559268</v>
          </cell>
          <cell r="AX332">
            <v>4473</v>
          </cell>
          <cell r="AY332">
            <v>1943</v>
          </cell>
          <cell r="AZ332">
            <v>0</v>
          </cell>
        </row>
        <row r="333">
          <cell r="I333" t="str">
            <v>3100</v>
          </cell>
          <cell r="K333" t="str">
            <v>30</v>
          </cell>
          <cell r="N333" t="str">
            <v>1</v>
          </cell>
          <cell r="O333" t="str">
            <v>D</v>
          </cell>
          <cell r="S333">
            <v>0</v>
          </cell>
          <cell r="Y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</row>
        <row r="334">
          <cell r="I334" t="str">
            <v>3100</v>
          </cell>
          <cell r="K334" t="str">
            <v>30</v>
          </cell>
          <cell r="N334" t="str">
            <v>1</v>
          </cell>
          <cell r="O334" t="str">
            <v>D</v>
          </cell>
          <cell r="S334">
            <v>0</v>
          </cell>
          <cell r="Y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</row>
        <row r="335">
          <cell r="I335" t="str">
            <v>7920</v>
          </cell>
          <cell r="K335" t="str">
            <v>10</v>
          </cell>
          <cell r="N335" t="str">
            <v>1</v>
          </cell>
          <cell r="O335" t="str">
            <v>D</v>
          </cell>
          <cell r="S335">
            <v>0</v>
          </cell>
          <cell r="Y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</row>
        <row r="336">
          <cell r="I336" t="str">
            <v>7920</v>
          </cell>
          <cell r="K336" t="str">
            <v>10</v>
          </cell>
          <cell r="N336" t="str">
            <v>1</v>
          </cell>
          <cell r="O336" t="str">
            <v>D</v>
          </cell>
          <cell r="S336">
            <v>0</v>
          </cell>
          <cell r="Y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</row>
        <row r="337">
          <cell r="I337" t="str">
            <v>7920</v>
          </cell>
          <cell r="K337" t="str">
            <v>10</v>
          </cell>
          <cell r="N337" t="str">
            <v>1</v>
          </cell>
          <cell r="O337" t="str">
            <v>D</v>
          </cell>
          <cell r="S337">
            <v>0</v>
          </cell>
          <cell r="Y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</row>
        <row r="338">
          <cell r="I338" t="str">
            <v>7920</v>
          </cell>
          <cell r="K338" t="str">
            <v>10</v>
          </cell>
          <cell r="N338" t="str">
            <v>1</v>
          </cell>
          <cell r="O338" t="str">
            <v>D</v>
          </cell>
          <cell r="S338">
            <v>0</v>
          </cell>
          <cell r="Y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</row>
        <row r="339">
          <cell r="I339" t="str">
            <v>7920</v>
          </cell>
          <cell r="K339" t="str">
            <v>10</v>
          </cell>
          <cell r="N339" t="str">
            <v>1</v>
          </cell>
          <cell r="O339" t="str">
            <v>D</v>
          </cell>
          <cell r="S339">
            <v>0</v>
          </cell>
          <cell r="Y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</row>
        <row r="340">
          <cell r="I340" t="str">
            <v>7920</v>
          </cell>
          <cell r="K340" t="str">
            <v>10</v>
          </cell>
          <cell r="N340" t="str">
            <v>1</v>
          </cell>
          <cell r="O340" t="str">
            <v>D</v>
          </cell>
          <cell r="S340">
            <v>0</v>
          </cell>
          <cell r="Y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</row>
        <row r="341">
          <cell r="I341" t="str">
            <v>7920</v>
          </cell>
          <cell r="K341" t="str">
            <v>20</v>
          </cell>
          <cell r="N341" t="str">
            <v>1</v>
          </cell>
          <cell r="O341" t="str">
            <v>D</v>
          </cell>
          <cell r="S341">
            <v>0</v>
          </cell>
          <cell r="Y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</row>
        <row r="342">
          <cell r="I342" t="str">
            <v>7920</v>
          </cell>
          <cell r="K342" t="str">
            <v>20</v>
          </cell>
          <cell r="N342" t="str">
            <v>1</v>
          </cell>
          <cell r="O342" t="str">
            <v>D</v>
          </cell>
          <cell r="S342">
            <v>0</v>
          </cell>
          <cell r="Y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</row>
        <row r="343">
          <cell r="I343" t="str">
            <v>7920</v>
          </cell>
          <cell r="K343" t="str">
            <v>10</v>
          </cell>
          <cell r="N343" t="str">
            <v>1</v>
          </cell>
          <cell r="O343" t="str">
            <v>D</v>
          </cell>
          <cell r="S343">
            <v>0</v>
          </cell>
          <cell r="Y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</row>
        <row r="344">
          <cell r="I344" t="str">
            <v>7920</v>
          </cell>
          <cell r="K344" t="str">
            <v>20</v>
          </cell>
          <cell r="N344" t="str">
            <v>1</v>
          </cell>
          <cell r="O344" t="str">
            <v>D</v>
          </cell>
          <cell r="S344">
            <v>0</v>
          </cell>
          <cell r="Y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</row>
        <row r="345">
          <cell r="I345" t="str">
            <v>7920</v>
          </cell>
          <cell r="K345" t="str">
            <v>10</v>
          </cell>
          <cell r="N345" t="str">
            <v/>
          </cell>
          <cell r="O345" t="str">
            <v>F</v>
          </cell>
          <cell r="S345">
            <v>-2684</v>
          </cell>
          <cell r="Y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</row>
        <row r="346">
          <cell r="I346" t="str">
            <v>7920</v>
          </cell>
          <cell r="K346" t="str">
            <v>10</v>
          </cell>
          <cell r="N346" t="str">
            <v/>
          </cell>
          <cell r="O346" t="str">
            <v>F</v>
          </cell>
          <cell r="S346">
            <v>303730</v>
          </cell>
          <cell r="Y346">
            <v>0</v>
          </cell>
          <cell r="AB346">
            <v>245854</v>
          </cell>
          <cell r="AC346">
            <v>0</v>
          </cell>
          <cell r="AD346">
            <v>67067</v>
          </cell>
          <cell r="AE346">
            <v>0</v>
          </cell>
          <cell r="AF346">
            <v>0</v>
          </cell>
          <cell r="AG346">
            <v>11575</v>
          </cell>
          <cell r="AH346">
            <v>6985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3982</v>
          </cell>
          <cell r="AN346">
            <v>295731</v>
          </cell>
          <cell r="AO346">
            <v>306470</v>
          </cell>
          <cell r="AP346">
            <v>6682</v>
          </cell>
          <cell r="AQ346">
            <v>131216</v>
          </cell>
          <cell r="AR346">
            <v>20069</v>
          </cell>
          <cell r="AS346">
            <v>0</v>
          </cell>
          <cell r="AT346">
            <v>0</v>
          </cell>
          <cell r="AU346">
            <v>-4074</v>
          </cell>
          <cell r="AV346">
            <v>0</v>
          </cell>
          <cell r="AW346">
            <v>53733</v>
          </cell>
          <cell r="AX346">
            <v>185</v>
          </cell>
          <cell r="AY346">
            <v>0</v>
          </cell>
          <cell r="AZ346">
            <v>0</v>
          </cell>
        </row>
        <row r="347">
          <cell r="I347" t="str">
            <v>7920</v>
          </cell>
          <cell r="K347" t="str">
            <v>10</v>
          </cell>
          <cell r="N347" t="str">
            <v/>
          </cell>
          <cell r="O347" t="str">
            <v>F</v>
          </cell>
          <cell r="S347">
            <v>-37500</v>
          </cell>
          <cell r="Y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</row>
        <row r="348">
          <cell r="I348" t="str">
            <v>7920</v>
          </cell>
          <cell r="K348" t="str">
            <v>10</v>
          </cell>
          <cell r="N348" t="str">
            <v/>
          </cell>
          <cell r="O348" t="str">
            <v>F</v>
          </cell>
          <cell r="S348">
            <v>6320940</v>
          </cell>
          <cell r="Y348">
            <v>0</v>
          </cell>
          <cell r="AB348">
            <v>2033724</v>
          </cell>
          <cell r="AC348">
            <v>18789</v>
          </cell>
          <cell r="AD348">
            <v>1575752</v>
          </cell>
          <cell r="AE348">
            <v>0</v>
          </cell>
          <cell r="AF348">
            <v>0</v>
          </cell>
          <cell r="AG348">
            <v>31972</v>
          </cell>
          <cell r="AH348">
            <v>195371</v>
          </cell>
          <cell r="AI348">
            <v>40528</v>
          </cell>
          <cell r="AJ348">
            <v>0</v>
          </cell>
          <cell r="AK348">
            <v>0</v>
          </cell>
          <cell r="AL348">
            <v>0</v>
          </cell>
          <cell r="AM348">
            <v>2081465</v>
          </cell>
          <cell r="AN348">
            <v>2656932</v>
          </cell>
          <cell r="AO348">
            <v>0</v>
          </cell>
          <cell r="AP348">
            <v>50167</v>
          </cell>
          <cell r="AQ348">
            <v>1109026</v>
          </cell>
          <cell r="AR348">
            <v>306605</v>
          </cell>
          <cell r="AS348">
            <v>1027</v>
          </cell>
          <cell r="AT348">
            <v>0</v>
          </cell>
          <cell r="AU348">
            <v>-31356</v>
          </cell>
          <cell r="AV348">
            <v>2692</v>
          </cell>
          <cell r="AW348">
            <v>130438</v>
          </cell>
          <cell r="AX348">
            <v>3272</v>
          </cell>
          <cell r="AY348">
            <v>0</v>
          </cell>
          <cell r="AZ348">
            <v>0</v>
          </cell>
        </row>
        <row r="349">
          <cell r="I349" t="str">
            <v>7920</v>
          </cell>
          <cell r="K349" t="str">
            <v>10</v>
          </cell>
          <cell r="N349" t="str">
            <v/>
          </cell>
          <cell r="O349" t="str">
            <v>F</v>
          </cell>
          <cell r="S349">
            <v>-8190</v>
          </cell>
          <cell r="Y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</row>
        <row r="350">
          <cell r="I350" t="str">
            <v>7920</v>
          </cell>
          <cell r="K350" t="str">
            <v>10</v>
          </cell>
          <cell r="N350" t="str">
            <v/>
          </cell>
          <cell r="O350" t="str">
            <v>F</v>
          </cell>
          <cell r="S350">
            <v>1420260</v>
          </cell>
          <cell r="Y350">
            <v>0</v>
          </cell>
          <cell r="AB350">
            <v>724421</v>
          </cell>
          <cell r="AC350">
            <v>0</v>
          </cell>
          <cell r="AD350">
            <v>263544</v>
          </cell>
          <cell r="AE350">
            <v>0</v>
          </cell>
          <cell r="AF350">
            <v>0</v>
          </cell>
          <cell r="AG350">
            <v>31725</v>
          </cell>
          <cell r="AH350">
            <v>55110</v>
          </cell>
          <cell r="AI350">
            <v>6144</v>
          </cell>
          <cell r="AJ350">
            <v>0</v>
          </cell>
          <cell r="AK350">
            <v>0</v>
          </cell>
          <cell r="AL350">
            <v>0</v>
          </cell>
          <cell r="AM350">
            <v>678637</v>
          </cell>
          <cell r="AN350">
            <v>857541</v>
          </cell>
          <cell r="AO350">
            <v>0</v>
          </cell>
          <cell r="AP350">
            <v>20988</v>
          </cell>
          <cell r="AQ350">
            <v>379277</v>
          </cell>
          <cell r="AR350">
            <v>92200</v>
          </cell>
          <cell r="AS350">
            <v>48</v>
          </cell>
          <cell r="AT350">
            <v>0</v>
          </cell>
          <cell r="AU350">
            <v>-5900</v>
          </cell>
          <cell r="AV350">
            <v>256</v>
          </cell>
          <cell r="AW350">
            <v>33447</v>
          </cell>
          <cell r="AX350">
            <v>535</v>
          </cell>
          <cell r="AY350">
            <v>0</v>
          </cell>
          <cell r="AZ350">
            <v>0</v>
          </cell>
        </row>
        <row r="351">
          <cell r="I351" t="str">
            <v>7920</v>
          </cell>
          <cell r="K351" t="str">
            <v>10</v>
          </cell>
          <cell r="N351" t="str">
            <v/>
          </cell>
          <cell r="O351" t="str">
            <v>F</v>
          </cell>
          <cell r="S351">
            <v>51948</v>
          </cell>
          <cell r="Y351">
            <v>0</v>
          </cell>
          <cell r="AB351">
            <v>42358</v>
          </cell>
          <cell r="AC351">
            <v>0</v>
          </cell>
          <cell r="AD351">
            <v>11608</v>
          </cell>
          <cell r="AE351">
            <v>0</v>
          </cell>
          <cell r="AF351">
            <v>0</v>
          </cell>
          <cell r="AG351">
            <v>488</v>
          </cell>
          <cell r="AH351">
            <v>548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360</v>
          </cell>
          <cell r="AN351">
            <v>127200</v>
          </cell>
          <cell r="AO351">
            <v>143657</v>
          </cell>
          <cell r="AP351">
            <v>604</v>
          </cell>
          <cell r="AQ351">
            <v>46072</v>
          </cell>
          <cell r="AR351">
            <v>1244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24075</v>
          </cell>
          <cell r="AX351">
            <v>86</v>
          </cell>
          <cell r="AY351">
            <v>0</v>
          </cell>
          <cell r="AZ351">
            <v>0</v>
          </cell>
        </row>
        <row r="352">
          <cell r="I352" t="str">
            <v>7920</v>
          </cell>
          <cell r="K352" t="str">
            <v>10</v>
          </cell>
          <cell r="N352" t="str">
            <v/>
          </cell>
          <cell r="O352" t="str">
            <v>F</v>
          </cell>
          <cell r="S352">
            <v>-360</v>
          </cell>
          <cell r="Y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</row>
        <row r="353">
          <cell r="I353" t="str">
            <v>7920</v>
          </cell>
          <cell r="K353" t="str">
            <v>10</v>
          </cell>
          <cell r="N353" t="str">
            <v/>
          </cell>
          <cell r="O353" t="str">
            <v>F</v>
          </cell>
          <cell r="S353">
            <v>40576</v>
          </cell>
          <cell r="Y353">
            <v>0</v>
          </cell>
          <cell r="AB353">
            <v>19491</v>
          </cell>
          <cell r="AC353">
            <v>8732</v>
          </cell>
          <cell r="AD353">
            <v>9926</v>
          </cell>
          <cell r="AE353">
            <v>0</v>
          </cell>
          <cell r="AF353">
            <v>0</v>
          </cell>
          <cell r="AG353">
            <v>0</v>
          </cell>
          <cell r="AH353">
            <v>164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547</v>
          </cell>
          <cell r="AN353">
            <v>159201</v>
          </cell>
          <cell r="AO353">
            <v>179653</v>
          </cell>
          <cell r="AP353">
            <v>917</v>
          </cell>
          <cell r="AQ353">
            <v>57828</v>
          </cell>
          <cell r="AR353">
            <v>1889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30107</v>
          </cell>
          <cell r="AX353">
            <v>0</v>
          </cell>
          <cell r="AY353">
            <v>0</v>
          </cell>
          <cell r="AZ353">
            <v>0</v>
          </cell>
        </row>
        <row r="354">
          <cell r="I354" t="str">
            <v>7920</v>
          </cell>
          <cell r="K354" t="str">
            <v>10</v>
          </cell>
          <cell r="N354" t="str">
            <v/>
          </cell>
          <cell r="O354" t="str">
            <v>F</v>
          </cell>
          <cell r="S354">
            <v>134676</v>
          </cell>
          <cell r="Y354">
            <v>0</v>
          </cell>
          <cell r="AB354">
            <v>198846</v>
          </cell>
          <cell r="AC354">
            <v>0</v>
          </cell>
          <cell r="AD354">
            <v>14004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5069</v>
          </cell>
          <cell r="AN354">
            <v>339388</v>
          </cell>
          <cell r="AO354">
            <v>377086</v>
          </cell>
          <cell r="AP354">
            <v>8507</v>
          </cell>
          <cell r="AQ354">
            <v>129965</v>
          </cell>
          <cell r="AR354">
            <v>17520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63194</v>
          </cell>
          <cell r="AX354">
            <v>0</v>
          </cell>
          <cell r="AY354">
            <v>0</v>
          </cell>
          <cell r="AZ354">
            <v>0</v>
          </cell>
        </row>
        <row r="355">
          <cell r="I355" t="str">
            <v>7920</v>
          </cell>
          <cell r="K355" t="str">
            <v>20</v>
          </cell>
          <cell r="N355" t="str">
            <v/>
          </cell>
          <cell r="O355" t="str">
            <v>F</v>
          </cell>
          <cell r="S355">
            <v>-700625</v>
          </cell>
          <cell r="Y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</row>
        <row r="356">
          <cell r="I356" t="str">
            <v>7920</v>
          </cell>
          <cell r="K356" t="str">
            <v>20</v>
          </cell>
          <cell r="N356" t="str">
            <v/>
          </cell>
          <cell r="O356" t="str">
            <v>F</v>
          </cell>
          <cell r="S356">
            <v>118105189</v>
          </cell>
          <cell r="Y356">
            <v>0</v>
          </cell>
          <cell r="AB356">
            <v>37546421</v>
          </cell>
          <cell r="AC356">
            <v>350020</v>
          </cell>
          <cell r="AD356">
            <v>29344420</v>
          </cell>
          <cell r="AE356">
            <v>0</v>
          </cell>
          <cell r="AF356">
            <v>0</v>
          </cell>
          <cell r="AG356">
            <v>595584</v>
          </cell>
          <cell r="AH356">
            <v>3639319</v>
          </cell>
          <cell r="AI356">
            <v>755401</v>
          </cell>
          <cell r="AJ356">
            <v>0</v>
          </cell>
          <cell r="AK356">
            <v>0</v>
          </cell>
          <cell r="AL356">
            <v>0</v>
          </cell>
          <cell r="AM356">
            <v>40977314</v>
          </cell>
          <cell r="AN356">
            <v>52148630</v>
          </cell>
          <cell r="AO356">
            <v>0</v>
          </cell>
          <cell r="AP356">
            <v>744201</v>
          </cell>
          <cell r="AQ356">
            <v>21240079</v>
          </cell>
          <cell r="AR356">
            <v>5535686</v>
          </cell>
          <cell r="AS356">
            <v>19274</v>
          </cell>
          <cell r="AT356">
            <v>0</v>
          </cell>
          <cell r="AU356">
            <v>-564066</v>
          </cell>
          <cell r="AV356">
            <v>51680</v>
          </cell>
          <cell r="AW356">
            <v>2553919</v>
          </cell>
          <cell r="AX356">
            <v>62485</v>
          </cell>
          <cell r="AY356">
            <v>0</v>
          </cell>
          <cell r="AZ356">
            <v>0</v>
          </cell>
        </row>
        <row r="357">
          <cell r="I357" t="str">
            <v>7920</v>
          </cell>
          <cell r="K357" t="str">
            <v>20</v>
          </cell>
          <cell r="N357" t="str">
            <v/>
          </cell>
          <cell r="O357" t="str">
            <v>F</v>
          </cell>
          <cell r="S357">
            <v>-1638</v>
          </cell>
          <cell r="Y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</row>
        <row r="358">
          <cell r="I358" t="str">
            <v>7920</v>
          </cell>
          <cell r="K358" t="str">
            <v>20</v>
          </cell>
          <cell r="N358" t="str">
            <v/>
          </cell>
          <cell r="O358" t="str">
            <v>F</v>
          </cell>
          <cell r="S358">
            <v>284052</v>
          </cell>
          <cell r="Y358">
            <v>0</v>
          </cell>
          <cell r="AB358">
            <v>144884</v>
          </cell>
          <cell r="AC358">
            <v>0</v>
          </cell>
          <cell r="AD358">
            <v>52708</v>
          </cell>
          <cell r="AE358">
            <v>0</v>
          </cell>
          <cell r="AF358">
            <v>0</v>
          </cell>
          <cell r="AG358">
            <v>6346</v>
          </cell>
          <cell r="AH358">
            <v>11022</v>
          </cell>
          <cell r="AI358">
            <v>1229</v>
          </cell>
          <cell r="AJ358">
            <v>0</v>
          </cell>
          <cell r="AK358">
            <v>0</v>
          </cell>
          <cell r="AL358">
            <v>0</v>
          </cell>
          <cell r="AM358">
            <v>135727</v>
          </cell>
          <cell r="AN358">
            <v>171508</v>
          </cell>
          <cell r="AO358">
            <v>0</v>
          </cell>
          <cell r="AP358">
            <v>4197</v>
          </cell>
          <cell r="AQ358">
            <v>75855</v>
          </cell>
          <cell r="AR358">
            <v>18441</v>
          </cell>
          <cell r="AS358">
            <v>9</v>
          </cell>
          <cell r="AT358">
            <v>0</v>
          </cell>
          <cell r="AU358">
            <v>-1180</v>
          </cell>
          <cell r="AV358">
            <v>52</v>
          </cell>
          <cell r="AW358">
            <v>6689</v>
          </cell>
          <cell r="AX358">
            <v>107</v>
          </cell>
          <cell r="AY358">
            <v>0</v>
          </cell>
          <cell r="AZ358">
            <v>0</v>
          </cell>
        </row>
        <row r="359">
          <cell r="I359" t="str">
            <v>7920</v>
          </cell>
          <cell r="K359" t="str">
            <v>10</v>
          </cell>
          <cell r="N359" t="str">
            <v/>
          </cell>
          <cell r="O359" t="str">
            <v>F</v>
          </cell>
          <cell r="S359">
            <v>-41382</v>
          </cell>
          <cell r="Y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</row>
        <row r="360">
          <cell r="I360" t="str">
            <v>7920</v>
          </cell>
          <cell r="K360" t="str">
            <v>10</v>
          </cell>
          <cell r="N360" t="str">
            <v/>
          </cell>
          <cell r="O360" t="str">
            <v>F</v>
          </cell>
          <cell r="S360">
            <v>6916734</v>
          </cell>
          <cell r="Y360">
            <v>0</v>
          </cell>
          <cell r="AB360">
            <v>2253105</v>
          </cell>
          <cell r="AC360">
            <v>20662</v>
          </cell>
          <cell r="AD360">
            <v>1807483</v>
          </cell>
          <cell r="AE360">
            <v>0</v>
          </cell>
          <cell r="AF360">
            <v>0</v>
          </cell>
          <cell r="AG360">
            <v>35164</v>
          </cell>
          <cell r="AH360">
            <v>214859</v>
          </cell>
          <cell r="AI360">
            <v>44073</v>
          </cell>
          <cell r="AJ360">
            <v>0</v>
          </cell>
          <cell r="AK360">
            <v>0</v>
          </cell>
          <cell r="AL360">
            <v>0</v>
          </cell>
          <cell r="AM360">
            <v>2325606</v>
          </cell>
          <cell r="AN360">
            <v>2974872</v>
          </cell>
          <cell r="AO360">
            <v>0</v>
          </cell>
          <cell r="AP360">
            <v>59181</v>
          </cell>
          <cell r="AQ360">
            <v>1266066</v>
          </cell>
          <cell r="AR360">
            <v>348383</v>
          </cell>
          <cell r="AS360">
            <v>1152</v>
          </cell>
          <cell r="AT360">
            <v>0</v>
          </cell>
          <cell r="AU360">
            <v>-37765</v>
          </cell>
          <cell r="AV360">
            <v>22957</v>
          </cell>
          <cell r="AW360">
            <v>146592</v>
          </cell>
          <cell r="AX360">
            <v>3670</v>
          </cell>
          <cell r="AY360">
            <v>0</v>
          </cell>
          <cell r="AZ360">
            <v>0</v>
          </cell>
        </row>
        <row r="361">
          <cell r="I361" t="str">
            <v>7920</v>
          </cell>
          <cell r="K361" t="str">
            <v>20</v>
          </cell>
          <cell r="N361" t="str">
            <v/>
          </cell>
          <cell r="O361" t="str">
            <v>F</v>
          </cell>
          <cell r="S361">
            <v>-48906</v>
          </cell>
          <cell r="Y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</row>
        <row r="362">
          <cell r="I362" t="str">
            <v>7920</v>
          </cell>
          <cell r="K362" t="str">
            <v>20</v>
          </cell>
          <cell r="N362" t="str">
            <v/>
          </cell>
          <cell r="O362" t="str">
            <v>F</v>
          </cell>
          <cell r="S362">
            <v>8174322</v>
          </cell>
          <cell r="Y362">
            <v>0</v>
          </cell>
          <cell r="AB362">
            <v>2662759</v>
          </cell>
          <cell r="AC362">
            <v>24426</v>
          </cell>
          <cell r="AD362">
            <v>2136115</v>
          </cell>
          <cell r="AE362">
            <v>0</v>
          </cell>
          <cell r="AF362">
            <v>0</v>
          </cell>
          <cell r="AG362">
            <v>41558</v>
          </cell>
          <cell r="AH362">
            <v>253935</v>
          </cell>
          <cell r="AI362">
            <v>52102</v>
          </cell>
          <cell r="AJ362">
            <v>0</v>
          </cell>
          <cell r="AK362">
            <v>0</v>
          </cell>
          <cell r="AL362">
            <v>0</v>
          </cell>
          <cell r="AM362">
            <v>2748450</v>
          </cell>
          <cell r="AN362">
            <v>3515780</v>
          </cell>
          <cell r="AO362">
            <v>0</v>
          </cell>
          <cell r="AP362">
            <v>69941</v>
          </cell>
          <cell r="AQ362">
            <v>1496261</v>
          </cell>
          <cell r="AR362">
            <v>411730</v>
          </cell>
          <cell r="AS362">
            <v>1373</v>
          </cell>
          <cell r="AT362">
            <v>0</v>
          </cell>
          <cell r="AU362">
            <v>-44641</v>
          </cell>
          <cell r="AV362">
            <v>27132</v>
          </cell>
          <cell r="AW362">
            <v>173240</v>
          </cell>
          <cell r="AX362">
            <v>4338</v>
          </cell>
          <cell r="AY362">
            <v>0</v>
          </cell>
          <cell r="AZ362">
            <v>0</v>
          </cell>
        </row>
        <row r="363">
          <cell r="I363" t="str">
            <v>3100</v>
          </cell>
          <cell r="K363" t="str">
            <v>30</v>
          </cell>
          <cell r="N363" t="str">
            <v>1</v>
          </cell>
          <cell r="O363" t="str">
            <v>D</v>
          </cell>
          <cell r="S363">
            <v>0</v>
          </cell>
          <cell r="Y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</row>
        <row r="364">
          <cell r="I364" t="str">
            <v>3100</v>
          </cell>
          <cell r="K364" t="str">
            <v>30</v>
          </cell>
          <cell r="N364" t="str">
            <v>1</v>
          </cell>
          <cell r="O364" t="str">
            <v>D</v>
          </cell>
          <cell r="S364">
            <v>0</v>
          </cell>
          <cell r="Y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</row>
        <row r="365">
          <cell r="I365" t="str">
            <v>3100</v>
          </cell>
          <cell r="K365" t="str">
            <v>30</v>
          </cell>
          <cell r="N365" t="str">
            <v>1</v>
          </cell>
          <cell r="O365" t="str">
            <v>D</v>
          </cell>
          <cell r="S365">
            <v>0</v>
          </cell>
          <cell r="Y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</row>
        <row r="366">
          <cell r="I366" t="str">
            <v>7920</v>
          </cell>
          <cell r="K366" t="str">
            <v>10</v>
          </cell>
          <cell r="N366" t="str">
            <v>1</v>
          </cell>
          <cell r="O366" t="str">
            <v>D</v>
          </cell>
          <cell r="S366">
            <v>0</v>
          </cell>
          <cell r="Y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</row>
        <row r="367">
          <cell r="I367" t="str">
            <v>7920</v>
          </cell>
          <cell r="K367" t="str">
            <v>10</v>
          </cell>
          <cell r="N367" t="str">
            <v>1</v>
          </cell>
          <cell r="O367" t="str">
            <v>D</v>
          </cell>
          <cell r="S367">
            <v>0</v>
          </cell>
          <cell r="Y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</row>
        <row r="368">
          <cell r="I368" t="str">
            <v>7920</v>
          </cell>
          <cell r="K368" t="str">
            <v>10</v>
          </cell>
          <cell r="N368" t="str">
            <v>1</v>
          </cell>
          <cell r="O368" t="str">
            <v>D</v>
          </cell>
          <cell r="S368">
            <v>0</v>
          </cell>
          <cell r="Y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</row>
        <row r="369">
          <cell r="I369" t="str">
            <v>7920</v>
          </cell>
          <cell r="K369" t="str">
            <v>20</v>
          </cell>
          <cell r="N369" t="str">
            <v>1</v>
          </cell>
          <cell r="O369" t="str">
            <v>D</v>
          </cell>
          <cell r="S369">
            <v>0</v>
          </cell>
          <cell r="Y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</row>
        <row r="370">
          <cell r="I370" t="str">
            <v>3100</v>
          </cell>
          <cell r="K370" t="str">
            <v>30</v>
          </cell>
          <cell r="N370" t="str">
            <v>1</v>
          </cell>
          <cell r="O370" t="str">
            <v>I</v>
          </cell>
          <cell r="S370">
            <v>0</v>
          </cell>
          <cell r="Y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</row>
        <row r="371">
          <cell r="I371" t="str">
            <v>3100</v>
          </cell>
          <cell r="K371" t="str">
            <v>30</v>
          </cell>
          <cell r="N371" t="str">
            <v>1</v>
          </cell>
          <cell r="O371" t="str">
            <v>I</v>
          </cell>
          <cell r="S371">
            <v>0</v>
          </cell>
          <cell r="Y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</row>
        <row r="372">
          <cell r="I372" t="str">
            <v>7920</v>
          </cell>
          <cell r="K372" t="str">
            <v>10</v>
          </cell>
          <cell r="N372" t="str">
            <v/>
          </cell>
          <cell r="O372" t="str">
            <v>F</v>
          </cell>
          <cell r="S372">
            <v>-3906</v>
          </cell>
          <cell r="Y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</row>
        <row r="373">
          <cell r="I373" t="str">
            <v>7920</v>
          </cell>
          <cell r="K373" t="str">
            <v>10</v>
          </cell>
          <cell r="N373" t="str">
            <v/>
          </cell>
          <cell r="O373" t="str">
            <v>F</v>
          </cell>
          <cell r="S373">
            <v>346736</v>
          </cell>
          <cell r="Y373">
            <v>0</v>
          </cell>
          <cell r="AB373">
            <v>233991</v>
          </cell>
          <cell r="AC373">
            <v>0</v>
          </cell>
          <cell r="AD373">
            <v>29415</v>
          </cell>
          <cell r="AE373">
            <v>0</v>
          </cell>
          <cell r="AF373">
            <v>0</v>
          </cell>
          <cell r="AG373">
            <v>9102</v>
          </cell>
          <cell r="AH373">
            <v>15457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7714</v>
          </cell>
          <cell r="AN373">
            <v>327615</v>
          </cell>
          <cell r="AO373">
            <v>334617</v>
          </cell>
          <cell r="AP373">
            <v>12946</v>
          </cell>
          <cell r="AQ373">
            <v>151990</v>
          </cell>
          <cell r="AR373">
            <v>37894</v>
          </cell>
          <cell r="AS373">
            <v>0</v>
          </cell>
          <cell r="AT373">
            <v>0</v>
          </cell>
          <cell r="AU373">
            <v>-5403</v>
          </cell>
          <cell r="AV373">
            <v>0</v>
          </cell>
          <cell r="AW373">
            <v>58491</v>
          </cell>
          <cell r="AX373">
            <v>138</v>
          </cell>
          <cell r="AY373">
            <v>0</v>
          </cell>
          <cell r="AZ373">
            <v>0</v>
          </cell>
        </row>
        <row r="374">
          <cell r="I374" t="str">
            <v>7920</v>
          </cell>
          <cell r="K374" t="str">
            <v>10</v>
          </cell>
          <cell r="N374" t="str">
            <v/>
          </cell>
          <cell r="O374" t="str">
            <v>F</v>
          </cell>
          <cell r="S374">
            <v>12</v>
          </cell>
          <cell r="Y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</row>
        <row r="375">
          <cell r="I375" t="str">
            <v>7920</v>
          </cell>
          <cell r="K375" t="str">
            <v>10</v>
          </cell>
          <cell r="N375" t="str">
            <v/>
          </cell>
          <cell r="O375" t="str">
            <v>F</v>
          </cell>
          <cell r="S375">
            <v>71114</v>
          </cell>
          <cell r="Y375">
            <v>0</v>
          </cell>
          <cell r="AB375">
            <v>94110</v>
          </cell>
          <cell r="AC375">
            <v>0</v>
          </cell>
          <cell r="AD375">
            <v>4161</v>
          </cell>
          <cell r="AE375">
            <v>0</v>
          </cell>
          <cell r="AF375">
            <v>0</v>
          </cell>
          <cell r="AG375">
            <v>1010</v>
          </cell>
          <cell r="AH375">
            <v>2690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180</v>
          </cell>
          <cell r="AN375">
            <v>207121</v>
          </cell>
          <cell r="AO375">
            <v>178507</v>
          </cell>
          <cell r="AP375">
            <v>302</v>
          </cell>
          <cell r="AQ375">
            <v>116564</v>
          </cell>
          <cell r="AR375">
            <v>622</v>
          </cell>
          <cell r="AS375">
            <v>0</v>
          </cell>
          <cell r="AT375">
            <v>0</v>
          </cell>
          <cell r="AU375">
            <v>-664</v>
          </cell>
          <cell r="AV375">
            <v>0</v>
          </cell>
          <cell r="AW375">
            <v>36502</v>
          </cell>
          <cell r="AX375">
            <v>57</v>
          </cell>
          <cell r="AY375">
            <v>0</v>
          </cell>
          <cell r="AZ375">
            <v>0</v>
          </cell>
        </row>
        <row r="376">
          <cell r="I376" t="str">
            <v>7920</v>
          </cell>
          <cell r="K376" t="str">
            <v>10</v>
          </cell>
          <cell r="N376" t="str">
            <v/>
          </cell>
          <cell r="O376" t="str">
            <v>F</v>
          </cell>
          <cell r="S376">
            <v>-26334</v>
          </cell>
          <cell r="Y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</row>
        <row r="377">
          <cell r="I377" t="str">
            <v>7920</v>
          </cell>
          <cell r="K377" t="str">
            <v>10</v>
          </cell>
          <cell r="N377" t="str">
            <v/>
          </cell>
          <cell r="O377" t="str">
            <v>F</v>
          </cell>
          <cell r="S377">
            <v>3118710</v>
          </cell>
          <cell r="Y377">
            <v>0</v>
          </cell>
          <cell r="AB377">
            <v>1200337</v>
          </cell>
          <cell r="AC377">
            <v>0</v>
          </cell>
          <cell r="AD377">
            <v>469353</v>
          </cell>
          <cell r="AE377">
            <v>0</v>
          </cell>
          <cell r="AF377">
            <v>0</v>
          </cell>
          <cell r="AG377">
            <v>16266</v>
          </cell>
          <cell r="AH377">
            <v>298804</v>
          </cell>
          <cell r="AI377">
            <v>19369</v>
          </cell>
          <cell r="AJ377">
            <v>0</v>
          </cell>
          <cell r="AK377">
            <v>0</v>
          </cell>
          <cell r="AL377">
            <v>0</v>
          </cell>
          <cell r="AM377">
            <v>862558</v>
          </cell>
          <cell r="AN377">
            <v>1129562</v>
          </cell>
          <cell r="AO377">
            <v>0</v>
          </cell>
          <cell r="AP377">
            <v>33958</v>
          </cell>
          <cell r="AQ377">
            <v>488542</v>
          </cell>
          <cell r="AR377">
            <v>334024</v>
          </cell>
          <cell r="AS377">
            <v>657</v>
          </cell>
          <cell r="AT377">
            <v>0</v>
          </cell>
          <cell r="AU377">
            <v>-18751</v>
          </cell>
          <cell r="AV377">
            <v>25504</v>
          </cell>
          <cell r="AW377">
            <v>161350</v>
          </cell>
          <cell r="AX377">
            <v>2316</v>
          </cell>
          <cell r="AY377">
            <v>0</v>
          </cell>
          <cell r="AZ377">
            <v>0</v>
          </cell>
        </row>
        <row r="378">
          <cell r="I378" t="str">
            <v>7920</v>
          </cell>
          <cell r="K378" t="str">
            <v>20</v>
          </cell>
          <cell r="N378" t="str">
            <v/>
          </cell>
          <cell r="O378" t="str">
            <v>F</v>
          </cell>
          <cell r="S378">
            <v>-250591</v>
          </cell>
          <cell r="Y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</row>
        <row r="379">
          <cell r="I379" t="str">
            <v>7920</v>
          </cell>
          <cell r="K379" t="str">
            <v>20</v>
          </cell>
          <cell r="N379" t="str">
            <v/>
          </cell>
          <cell r="O379" t="str">
            <v>F</v>
          </cell>
          <cell r="S379">
            <v>29445042</v>
          </cell>
          <cell r="Y379">
            <v>0</v>
          </cell>
          <cell r="AB379">
            <v>11335775</v>
          </cell>
          <cell r="AC379">
            <v>0</v>
          </cell>
          <cell r="AD379">
            <v>4432692</v>
          </cell>
          <cell r="AE379">
            <v>0</v>
          </cell>
          <cell r="AF379">
            <v>0</v>
          </cell>
          <cell r="AG379">
            <v>153560</v>
          </cell>
          <cell r="AH379">
            <v>2821025</v>
          </cell>
          <cell r="AI379">
            <v>182868</v>
          </cell>
          <cell r="AJ379">
            <v>0</v>
          </cell>
          <cell r="AK379">
            <v>0</v>
          </cell>
          <cell r="AL379">
            <v>0</v>
          </cell>
          <cell r="AM379">
            <v>8142059</v>
          </cell>
          <cell r="AN379">
            <v>10662231</v>
          </cell>
          <cell r="AO379">
            <v>0</v>
          </cell>
          <cell r="AP379">
            <v>321155</v>
          </cell>
          <cell r="AQ379">
            <v>4611693</v>
          </cell>
          <cell r="AR379">
            <v>3154537</v>
          </cell>
          <cell r="AS379">
            <v>6176</v>
          </cell>
          <cell r="AT379">
            <v>0</v>
          </cell>
          <cell r="AU379">
            <v>-176883</v>
          </cell>
          <cell r="AV379">
            <v>240813</v>
          </cell>
          <cell r="AW379">
            <v>1523218</v>
          </cell>
          <cell r="AX379">
            <v>21841</v>
          </cell>
          <cell r="AY379">
            <v>0</v>
          </cell>
          <cell r="AZ379">
            <v>0</v>
          </cell>
        </row>
        <row r="380">
          <cell r="I380" t="str">
            <v>3100</v>
          </cell>
          <cell r="K380" t="str">
            <v>30</v>
          </cell>
          <cell r="N380" t="str">
            <v>1</v>
          </cell>
          <cell r="O380" t="str">
            <v>D</v>
          </cell>
          <cell r="S380">
            <v>0</v>
          </cell>
          <cell r="Y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</row>
        <row r="381">
          <cell r="I381" t="str">
            <v>7920</v>
          </cell>
          <cell r="K381" t="str">
            <v>10</v>
          </cell>
          <cell r="N381" t="str">
            <v>1</v>
          </cell>
          <cell r="O381" t="str">
            <v>D</v>
          </cell>
          <cell r="S381">
            <v>0</v>
          </cell>
          <cell r="Y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</row>
        <row r="382">
          <cell r="I382" t="str">
            <v>7920</v>
          </cell>
          <cell r="K382" t="str">
            <v>10</v>
          </cell>
          <cell r="N382" t="str">
            <v/>
          </cell>
          <cell r="O382" t="str">
            <v>F</v>
          </cell>
          <cell r="S382">
            <v>11576070</v>
          </cell>
          <cell r="Y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</row>
        <row r="383">
          <cell r="I383" t="str">
            <v>7920</v>
          </cell>
          <cell r="K383" t="str">
            <v>20</v>
          </cell>
          <cell r="N383" t="str">
            <v/>
          </cell>
          <cell r="O383" t="str">
            <v>F</v>
          </cell>
          <cell r="S383">
            <v>-11576070</v>
          </cell>
          <cell r="Y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</row>
        <row r="384">
          <cell r="I384" t="str">
            <v>7920</v>
          </cell>
          <cell r="K384" t="str">
            <v>20</v>
          </cell>
          <cell r="N384" t="str">
            <v/>
          </cell>
          <cell r="O384" t="str">
            <v>F</v>
          </cell>
          <cell r="S384">
            <v>11576070</v>
          </cell>
          <cell r="Y384">
            <v>0</v>
          </cell>
          <cell r="AB384">
            <v>495</v>
          </cell>
          <cell r="AC384">
            <v>0</v>
          </cell>
          <cell r="AD384">
            <v>207735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12210</v>
          </cell>
          <cell r="AO384">
            <v>6435</v>
          </cell>
          <cell r="AP384">
            <v>0</v>
          </cell>
          <cell r="AQ384">
            <v>19965</v>
          </cell>
          <cell r="AR384">
            <v>40425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</row>
        <row r="385">
          <cell r="I385" t="str">
            <v>3100</v>
          </cell>
          <cell r="K385" t="str">
            <v>10</v>
          </cell>
          <cell r="N385" t="str">
            <v>1</v>
          </cell>
          <cell r="O385" t="str">
            <v>D</v>
          </cell>
          <cell r="S385">
            <v>0</v>
          </cell>
          <cell r="Y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</row>
        <row r="386">
          <cell r="I386" t="str">
            <v>3100</v>
          </cell>
          <cell r="K386" t="str">
            <v>30</v>
          </cell>
          <cell r="N386" t="str">
            <v>1</v>
          </cell>
          <cell r="O386" t="str">
            <v>D</v>
          </cell>
          <cell r="S386">
            <v>0</v>
          </cell>
          <cell r="Y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</row>
        <row r="387">
          <cell r="I387" t="str">
            <v>3100</v>
          </cell>
          <cell r="K387" t="str">
            <v>30</v>
          </cell>
          <cell r="N387" t="str">
            <v>1</v>
          </cell>
          <cell r="O387" t="str">
            <v>D</v>
          </cell>
          <cell r="S387">
            <v>0</v>
          </cell>
          <cell r="Y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</row>
        <row r="388">
          <cell r="I388" t="str">
            <v>3100</v>
          </cell>
          <cell r="K388" t="str">
            <v>30</v>
          </cell>
          <cell r="N388" t="str">
            <v>1</v>
          </cell>
          <cell r="O388" t="str">
            <v>D</v>
          </cell>
          <cell r="S388">
            <v>0</v>
          </cell>
          <cell r="Y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</row>
        <row r="389">
          <cell r="I389" t="str">
            <v>3100</v>
          </cell>
          <cell r="K389" t="str">
            <v>30</v>
          </cell>
          <cell r="N389" t="str">
            <v>1</v>
          </cell>
          <cell r="O389" t="str">
            <v>D</v>
          </cell>
          <cell r="S389">
            <v>0</v>
          </cell>
          <cell r="Y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</row>
        <row r="390">
          <cell r="I390" t="str">
            <v>3100</v>
          </cell>
          <cell r="K390" t="str">
            <v>30</v>
          </cell>
          <cell r="N390" t="str">
            <v>1</v>
          </cell>
          <cell r="O390" t="str">
            <v>D</v>
          </cell>
          <cell r="S390">
            <v>0</v>
          </cell>
          <cell r="Y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</row>
        <row r="391">
          <cell r="I391" t="str">
            <v>7920</v>
          </cell>
          <cell r="K391" t="str">
            <v>10</v>
          </cell>
          <cell r="N391" t="str">
            <v>1</v>
          </cell>
          <cell r="O391" t="str">
            <v>D</v>
          </cell>
          <cell r="S391">
            <v>0</v>
          </cell>
          <cell r="Y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</row>
        <row r="392">
          <cell r="I392" t="str">
            <v>7920</v>
          </cell>
          <cell r="K392" t="str">
            <v>30</v>
          </cell>
          <cell r="N392" t="str">
            <v>1</v>
          </cell>
          <cell r="O392" t="str">
            <v>D</v>
          </cell>
          <cell r="S392">
            <v>0</v>
          </cell>
          <cell r="Y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</row>
        <row r="393">
          <cell r="I393" t="str">
            <v>7920</v>
          </cell>
          <cell r="K393" t="str">
            <v>10</v>
          </cell>
          <cell r="N393" t="str">
            <v>1</v>
          </cell>
          <cell r="O393" t="str">
            <v>D</v>
          </cell>
          <cell r="S393">
            <v>0</v>
          </cell>
          <cell r="Y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</row>
        <row r="394">
          <cell r="I394" t="str">
            <v>7920</v>
          </cell>
          <cell r="K394" t="str">
            <v>10</v>
          </cell>
          <cell r="N394" t="str">
            <v>1</v>
          </cell>
          <cell r="O394" t="str">
            <v>D</v>
          </cell>
          <cell r="S394">
            <v>0</v>
          </cell>
          <cell r="Y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</row>
        <row r="395">
          <cell r="I395" t="str">
            <v>7920</v>
          </cell>
          <cell r="K395" t="str">
            <v>20</v>
          </cell>
          <cell r="N395" t="str">
            <v>1</v>
          </cell>
          <cell r="O395" t="str">
            <v>D</v>
          </cell>
          <cell r="S395">
            <v>0</v>
          </cell>
          <cell r="Y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</row>
        <row r="396">
          <cell r="I396" t="str">
            <v>7920</v>
          </cell>
          <cell r="K396" t="str">
            <v>20</v>
          </cell>
          <cell r="N396" t="str">
            <v>1</v>
          </cell>
          <cell r="O396" t="str">
            <v>D</v>
          </cell>
          <cell r="S396">
            <v>0</v>
          </cell>
          <cell r="Y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</row>
        <row r="397">
          <cell r="I397" t="str">
            <v>7920</v>
          </cell>
          <cell r="K397" t="str">
            <v>10</v>
          </cell>
          <cell r="N397" t="str">
            <v>1</v>
          </cell>
          <cell r="O397" t="str">
            <v>D</v>
          </cell>
          <cell r="S397">
            <v>0</v>
          </cell>
          <cell r="Y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</row>
        <row r="398">
          <cell r="I398" t="str">
            <v>7920</v>
          </cell>
          <cell r="K398" t="str">
            <v>10</v>
          </cell>
          <cell r="N398" t="str">
            <v>1</v>
          </cell>
          <cell r="O398" t="str">
            <v>D</v>
          </cell>
          <cell r="S398">
            <v>0</v>
          </cell>
          <cell r="Y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</row>
        <row r="399">
          <cell r="I399" t="str">
            <v>7920</v>
          </cell>
          <cell r="K399" t="str">
            <v>20</v>
          </cell>
          <cell r="N399" t="str">
            <v>1</v>
          </cell>
          <cell r="O399" t="str">
            <v>D</v>
          </cell>
          <cell r="S399">
            <v>0</v>
          </cell>
          <cell r="Y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</row>
        <row r="400">
          <cell r="I400" t="str">
            <v>7920</v>
          </cell>
          <cell r="K400" t="str">
            <v>20</v>
          </cell>
          <cell r="N400" t="str">
            <v>1</v>
          </cell>
          <cell r="O400" t="str">
            <v>D</v>
          </cell>
          <cell r="S400">
            <v>0</v>
          </cell>
          <cell r="Y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</row>
        <row r="401">
          <cell r="I401" t="str">
            <v>7920</v>
          </cell>
          <cell r="K401" t="str">
            <v>30</v>
          </cell>
          <cell r="N401" t="str">
            <v>1</v>
          </cell>
          <cell r="O401" t="str">
            <v>D</v>
          </cell>
          <cell r="S401">
            <v>0</v>
          </cell>
          <cell r="Y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</row>
        <row r="402">
          <cell r="I402" t="str">
            <v>3100</v>
          </cell>
          <cell r="K402" t="str">
            <v>10</v>
          </cell>
          <cell r="N402" t="str">
            <v/>
          </cell>
          <cell r="O402" t="str">
            <v>F</v>
          </cell>
          <cell r="S402">
            <v>11855410</v>
          </cell>
          <cell r="Y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8839771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I403" t="str">
            <v>3100</v>
          </cell>
          <cell r="K403" t="str">
            <v>30</v>
          </cell>
          <cell r="N403" t="str">
            <v>1</v>
          </cell>
          <cell r="O403" t="str">
            <v>I</v>
          </cell>
          <cell r="S403">
            <v>0</v>
          </cell>
          <cell r="Y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</row>
        <row r="404">
          <cell r="I404" t="str">
            <v>3100</v>
          </cell>
          <cell r="K404" t="str">
            <v>30</v>
          </cell>
          <cell r="N404" t="str">
            <v>1</v>
          </cell>
          <cell r="O404" t="str">
            <v>I</v>
          </cell>
          <cell r="S404">
            <v>0</v>
          </cell>
          <cell r="Y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I405" t="str">
            <v>7920</v>
          </cell>
          <cell r="K405" t="str">
            <v>10</v>
          </cell>
          <cell r="N405" t="str">
            <v/>
          </cell>
          <cell r="O405" t="str">
            <v>F</v>
          </cell>
          <cell r="S405">
            <v>1067091</v>
          </cell>
          <cell r="Y405">
            <v>0</v>
          </cell>
          <cell r="AB405">
            <v>3</v>
          </cell>
          <cell r="AC405">
            <v>0</v>
          </cell>
          <cell r="AD405">
            <v>674533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1585004</v>
          </cell>
          <cell r="AO405">
            <v>1472096</v>
          </cell>
          <cell r="AP405">
            <v>0</v>
          </cell>
          <cell r="AQ405">
            <v>811264</v>
          </cell>
          <cell r="AR405">
            <v>0</v>
          </cell>
          <cell r="AS405">
            <v>0</v>
          </cell>
          <cell r="AT405">
            <v>0</v>
          </cell>
          <cell r="AU405">
            <v>-8165</v>
          </cell>
          <cell r="AV405">
            <v>0</v>
          </cell>
          <cell r="AW405">
            <v>284885</v>
          </cell>
          <cell r="AX405">
            <v>545</v>
          </cell>
          <cell r="AY405">
            <v>0</v>
          </cell>
          <cell r="AZ405">
            <v>0</v>
          </cell>
        </row>
        <row r="406">
          <cell r="I406" t="str">
            <v>7920</v>
          </cell>
          <cell r="K406" t="str">
            <v>10</v>
          </cell>
          <cell r="N406" t="str">
            <v/>
          </cell>
          <cell r="O406" t="str">
            <v>F</v>
          </cell>
          <cell r="S406">
            <v>-29016</v>
          </cell>
          <cell r="Y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</row>
        <row r="407">
          <cell r="I407" t="str">
            <v>7920</v>
          </cell>
          <cell r="K407" t="str">
            <v>10</v>
          </cell>
          <cell r="N407" t="str">
            <v/>
          </cell>
          <cell r="O407" t="str">
            <v>F</v>
          </cell>
          <cell r="S407">
            <v>5409846</v>
          </cell>
          <cell r="Y407">
            <v>0</v>
          </cell>
          <cell r="AB407">
            <v>998284</v>
          </cell>
          <cell r="AC407">
            <v>0</v>
          </cell>
          <cell r="AD407">
            <v>1209956</v>
          </cell>
          <cell r="AE407">
            <v>0</v>
          </cell>
          <cell r="AF407">
            <v>0</v>
          </cell>
          <cell r="AG407">
            <v>132163</v>
          </cell>
          <cell r="AH407">
            <v>0</v>
          </cell>
          <cell r="AI407">
            <v>10093</v>
          </cell>
          <cell r="AJ407">
            <v>0</v>
          </cell>
          <cell r="AK407">
            <v>0</v>
          </cell>
          <cell r="AL407">
            <v>0</v>
          </cell>
          <cell r="AM407">
            <v>779238</v>
          </cell>
          <cell r="AN407">
            <v>991763</v>
          </cell>
          <cell r="AO407">
            <v>0</v>
          </cell>
          <cell r="AP407">
            <v>45178</v>
          </cell>
          <cell r="AQ407">
            <v>439170</v>
          </cell>
          <cell r="AR407">
            <v>465113</v>
          </cell>
          <cell r="AS407">
            <v>1394</v>
          </cell>
          <cell r="AT407">
            <v>0</v>
          </cell>
          <cell r="AU407">
            <v>-19256</v>
          </cell>
          <cell r="AV407">
            <v>0</v>
          </cell>
          <cell r="AW407">
            <v>229808</v>
          </cell>
          <cell r="AX407">
            <v>2857</v>
          </cell>
          <cell r="AY407">
            <v>0</v>
          </cell>
          <cell r="AZ407">
            <v>0</v>
          </cell>
        </row>
        <row r="408">
          <cell r="I408" t="str">
            <v>7920</v>
          </cell>
          <cell r="K408" t="str">
            <v>10</v>
          </cell>
          <cell r="N408" t="str">
            <v/>
          </cell>
          <cell r="O408" t="str">
            <v>F</v>
          </cell>
          <cell r="S408">
            <v>-78680</v>
          </cell>
          <cell r="Y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</row>
        <row r="409">
          <cell r="I409" t="str">
            <v>7920</v>
          </cell>
          <cell r="K409" t="str">
            <v>10</v>
          </cell>
          <cell r="N409" t="str">
            <v/>
          </cell>
          <cell r="O409" t="str">
            <v>F</v>
          </cell>
          <cell r="S409">
            <v>11812621</v>
          </cell>
          <cell r="Y409">
            <v>0</v>
          </cell>
          <cell r="AB409">
            <v>3204471</v>
          </cell>
          <cell r="AC409">
            <v>0</v>
          </cell>
          <cell r="AD409">
            <v>3889186</v>
          </cell>
          <cell r="AE409">
            <v>0</v>
          </cell>
          <cell r="AF409">
            <v>0</v>
          </cell>
          <cell r="AG409">
            <v>57463</v>
          </cell>
          <cell r="AH409">
            <v>140030</v>
          </cell>
          <cell r="AI409">
            <v>30647</v>
          </cell>
          <cell r="AJ409">
            <v>0</v>
          </cell>
          <cell r="AK409">
            <v>0</v>
          </cell>
          <cell r="AL409">
            <v>0</v>
          </cell>
          <cell r="AM409">
            <v>4190347</v>
          </cell>
          <cell r="AN409">
            <v>5300944</v>
          </cell>
          <cell r="AO409">
            <v>0</v>
          </cell>
          <cell r="AP409">
            <v>46596</v>
          </cell>
          <cell r="AQ409">
            <v>2054308</v>
          </cell>
          <cell r="AR409">
            <v>1548721</v>
          </cell>
          <cell r="AS409">
            <v>1208</v>
          </cell>
          <cell r="AT409">
            <v>0</v>
          </cell>
          <cell r="AU409">
            <v>-51505</v>
          </cell>
          <cell r="AV409">
            <v>19032</v>
          </cell>
          <cell r="AW409">
            <v>877317</v>
          </cell>
          <cell r="AX409">
            <v>10507</v>
          </cell>
          <cell r="AY409">
            <v>0</v>
          </cell>
          <cell r="AZ409">
            <v>0</v>
          </cell>
        </row>
        <row r="410">
          <cell r="I410" t="str">
            <v>7920</v>
          </cell>
          <cell r="K410" t="str">
            <v>20</v>
          </cell>
          <cell r="N410" t="str">
            <v/>
          </cell>
          <cell r="O410" t="str">
            <v>F</v>
          </cell>
          <cell r="S410">
            <v>-133424</v>
          </cell>
          <cell r="Y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</row>
        <row r="411">
          <cell r="I411" t="str">
            <v>7920</v>
          </cell>
          <cell r="K411" t="str">
            <v>20</v>
          </cell>
          <cell r="N411" t="str">
            <v/>
          </cell>
          <cell r="O411" t="str">
            <v>F</v>
          </cell>
          <cell r="S411">
            <v>24991687</v>
          </cell>
          <cell r="Y411">
            <v>0</v>
          </cell>
          <cell r="AB411">
            <v>4610943</v>
          </cell>
          <cell r="AC411">
            <v>0</v>
          </cell>
          <cell r="AD411">
            <v>5589580</v>
          </cell>
          <cell r="AE411">
            <v>0</v>
          </cell>
          <cell r="AF411">
            <v>0</v>
          </cell>
          <cell r="AG411">
            <v>610545</v>
          </cell>
          <cell r="AH411">
            <v>0</v>
          </cell>
          <cell r="AI411">
            <v>46619</v>
          </cell>
          <cell r="AJ411">
            <v>0</v>
          </cell>
          <cell r="AK411">
            <v>0</v>
          </cell>
          <cell r="AL411">
            <v>0</v>
          </cell>
          <cell r="AM411">
            <v>3599824</v>
          </cell>
          <cell r="AN411">
            <v>4581710</v>
          </cell>
          <cell r="AO411">
            <v>0</v>
          </cell>
          <cell r="AP411">
            <v>208655</v>
          </cell>
          <cell r="AQ411">
            <v>2028800</v>
          </cell>
          <cell r="AR411">
            <v>2148583</v>
          </cell>
          <cell r="AS411">
            <v>6434</v>
          </cell>
          <cell r="AT411">
            <v>0</v>
          </cell>
          <cell r="AU411">
            <v>-88964</v>
          </cell>
          <cell r="AV411">
            <v>0</v>
          </cell>
          <cell r="AW411">
            <v>1061630</v>
          </cell>
          <cell r="AX411">
            <v>13208</v>
          </cell>
          <cell r="AY411">
            <v>0</v>
          </cell>
          <cell r="AZ411">
            <v>0</v>
          </cell>
        </row>
        <row r="412">
          <cell r="I412" t="str">
            <v>7920</v>
          </cell>
          <cell r="K412" t="str">
            <v>20</v>
          </cell>
          <cell r="N412" t="str">
            <v/>
          </cell>
          <cell r="O412" t="str">
            <v>F</v>
          </cell>
          <cell r="S412">
            <v>-115643</v>
          </cell>
          <cell r="Y412">
            <v>0</v>
          </cell>
          <cell r="AB412">
            <v>-20551</v>
          </cell>
          <cell r="AC412">
            <v>0</v>
          </cell>
          <cell r="AD412">
            <v>-25861</v>
          </cell>
          <cell r="AE412">
            <v>0</v>
          </cell>
          <cell r="AF412">
            <v>0</v>
          </cell>
          <cell r="AG412">
            <v>-2827</v>
          </cell>
          <cell r="AH412">
            <v>0</v>
          </cell>
          <cell r="AI412">
            <v>-217</v>
          </cell>
          <cell r="AJ412">
            <v>0</v>
          </cell>
          <cell r="AK412">
            <v>0</v>
          </cell>
          <cell r="AL412">
            <v>0</v>
          </cell>
          <cell r="AM412">
            <v>-16697</v>
          </cell>
          <cell r="AN412">
            <v>-21280</v>
          </cell>
          <cell r="AO412">
            <v>0</v>
          </cell>
          <cell r="AP412">
            <v>-903</v>
          </cell>
          <cell r="AQ412">
            <v>-9359</v>
          </cell>
          <cell r="AR412">
            <v>-9819</v>
          </cell>
          <cell r="AS412">
            <v>-28</v>
          </cell>
          <cell r="AT412">
            <v>0</v>
          </cell>
          <cell r="AU412">
            <v>411</v>
          </cell>
          <cell r="AV412">
            <v>0</v>
          </cell>
          <cell r="AW412">
            <v>-4915</v>
          </cell>
          <cell r="AX412">
            <v>-59</v>
          </cell>
          <cell r="AY412">
            <v>0</v>
          </cell>
          <cell r="AZ412">
            <v>0</v>
          </cell>
        </row>
        <row r="413">
          <cell r="I413" t="str">
            <v>7920</v>
          </cell>
          <cell r="K413" t="str">
            <v>20</v>
          </cell>
          <cell r="N413" t="str">
            <v/>
          </cell>
          <cell r="O413" t="str">
            <v>F</v>
          </cell>
          <cell r="S413">
            <v>-752360</v>
          </cell>
          <cell r="Y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</row>
        <row r="414">
          <cell r="I414" t="str">
            <v>7920</v>
          </cell>
          <cell r="K414" t="str">
            <v>20</v>
          </cell>
          <cell r="N414" t="str">
            <v/>
          </cell>
          <cell r="O414" t="str">
            <v>F</v>
          </cell>
          <cell r="S414">
            <v>111997488</v>
          </cell>
          <cell r="Y414">
            <v>0</v>
          </cell>
          <cell r="AB414">
            <v>30391460</v>
          </cell>
          <cell r="AC414">
            <v>0</v>
          </cell>
          <cell r="AD414">
            <v>36885194</v>
          </cell>
          <cell r="AE414">
            <v>0</v>
          </cell>
          <cell r="AF414">
            <v>0</v>
          </cell>
          <cell r="AG414">
            <v>544976</v>
          </cell>
          <cell r="AH414">
            <v>1328061</v>
          </cell>
          <cell r="AI414">
            <v>290681</v>
          </cell>
          <cell r="AJ414">
            <v>0</v>
          </cell>
          <cell r="AK414">
            <v>0</v>
          </cell>
          <cell r="AL414">
            <v>0</v>
          </cell>
          <cell r="AM414">
            <v>39741335</v>
          </cell>
          <cell r="AN414">
            <v>50274286</v>
          </cell>
          <cell r="AO414">
            <v>0</v>
          </cell>
          <cell r="AP414">
            <v>441904</v>
          </cell>
          <cell r="AQ414">
            <v>19483193</v>
          </cell>
          <cell r="AR414">
            <v>14688158</v>
          </cell>
          <cell r="AS414">
            <v>11445</v>
          </cell>
          <cell r="AT414">
            <v>0</v>
          </cell>
          <cell r="AU414">
            <v>-488526</v>
          </cell>
          <cell r="AV414">
            <v>180504</v>
          </cell>
          <cell r="AW414">
            <v>8320557</v>
          </cell>
          <cell r="AX414">
            <v>99674</v>
          </cell>
          <cell r="AY414">
            <v>0</v>
          </cell>
          <cell r="AZ414">
            <v>0</v>
          </cell>
        </row>
        <row r="415">
          <cell r="I415" t="str">
            <v>7920</v>
          </cell>
          <cell r="K415" t="str">
            <v>10</v>
          </cell>
          <cell r="N415" t="str">
            <v/>
          </cell>
          <cell r="O415" t="str">
            <v>F</v>
          </cell>
          <cell r="S415">
            <v>-377676</v>
          </cell>
          <cell r="Y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</row>
        <row r="416">
          <cell r="I416" t="str">
            <v>7920</v>
          </cell>
          <cell r="K416" t="str">
            <v>10</v>
          </cell>
          <cell r="N416" t="str">
            <v/>
          </cell>
          <cell r="O416" t="str">
            <v>F</v>
          </cell>
          <cell r="S416">
            <v>58212135</v>
          </cell>
          <cell r="Y416">
            <v>0</v>
          </cell>
          <cell r="AB416">
            <v>13598210</v>
          </cell>
          <cell r="AC416">
            <v>0</v>
          </cell>
          <cell r="AD416">
            <v>18686046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171212</v>
          </cell>
          <cell r="AJ416">
            <v>0</v>
          </cell>
          <cell r="AK416">
            <v>0</v>
          </cell>
          <cell r="AL416">
            <v>0</v>
          </cell>
          <cell r="AM416">
            <v>26662844</v>
          </cell>
          <cell r="AN416">
            <v>33422257</v>
          </cell>
          <cell r="AO416">
            <v>0</v>
          </cell>
          <cell r="AP416">
            <v>275422</v>
          </cell>
          <cell r="AQ416">
            <v>12910406</v>
          </cell>
          <cell r="AR416">
            <v>7067937</v>
          </cell>
          <cell r="AS416">
            <v>19852</v>
          </cell>
          <cell r="AT416">
            <v>0</v>
          </cell>
          <cell r="AU416">
            <v>-199210</v>
          </cell>
          <cell r="AV416">
            <v>3107201</v>
          </cell>
          <cell r="AW416">
            <v>3958890</v>
          </cell>
          <cell r="AX416">
            <v>43774</v>
          </cell>
          <cell r="AY416">
            <v>0</v>
          </cell>
          <cell r="AZ416">
            <v>0</v>
          </cell>
        </row>
        <row r="417">
          <cell r="I417" t="str">
            <v>7920</v>
          </cell>
          <cell r="K417" t="str">
            <v>10</v>
          </cell>
          <cell r="N417" t="str">
            <v/>
          </cell>
          <cell r="O417" t="str">
            <v>F</v>
          </cell>
          <cell r="S417">
            <v>-297976</v>
          </cell>
          <cell r="Y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</row>
        <row r="418">
          <cell r="I418" t="str">
            <v>7920</v>
          </cell>
          <cell r="K418" t="str">
            <v>10</v>
          </cell>
          <cell r="N418" t="str">
            <v/>
          </cell>
          <cell r="O418" t="str">
            <v>F</v>
          </cell>
          <cell r="S418">
            <v>63791468</v>
          </cell>
          <cell r="Y418">
            <v>0</v>
          </cell>
          <cell r="AB418">
            <v>12685081</v>
          </cell>
          <cell r="AC418">
            <v>0</v>
          </cell>
          <cell r="AD418">
            <v>14577619</v>
          </cell>
          <cell r="AE418">
            <v>0</v>
          </cell>
          <cell r="AF418">
            <v>0</v>
          </cell>
          <cell r="AG418">
            <v>101980</v>
          </cell>
          <cell r="AH418">
            <v>0</v>
          </cell>
          <cell r="AI418">
            <v>195624</v>
          </cell>
          <cell r="AJ418">
            <v>0</v>
          </cell>
          <cell r="AK418">
            <v>0</v>
          </cell>
          <cell r="AL418">
            <v>0</v>
          </cell>
          <cell r="AM418">
            <v>13984798</v>
          </cell>
          <cell r="AN418">
            <v>17840529</v>
          </cell>
          <cell r="AO418">
            <v>0</v>
          </cell>
          <cell r="AP418">
            <v>218785</v>
          </cell>
          <cell r="AQ418">
            <v>6911514</v>
          </cell>
          <cell r="AR418">
            <v>5291768</v>
          </cell>
          <cell r="AS418">
            <v>9569</v>
          </cell>
          <cell r="AT418">
            <v>0</v>
          </cell>
          <cell r="AU418">
            <v>-130557</v>
          </cell>
          <cell r="AV418">
            <v>3415262</v>
          </cell>
          <cell r="AW418">
            <v>2900078</v>
          </cell>
          <cell r="AX418">
            <v>33946</v>
          </cell>
          <cell r="AY418">
            <v>0</v>
          </cell>
          <cell r="AZ418">
            <v>0</v>
          </cell>
        </row>
        <row r="419">
          <cell r="I419" t="str">
            <v>7920</v>
          </cell>
          <cell r="K419" t="str">
            <v>20</v>
          </cell>
          <cell r="N419" t="str">
            <v/>
          </cell>
          <cell r="O419" t="str">
            <v>F</v>
          </cell>
          <cell r="S419">
            <v>-313404</v>
          </cell>
          <cell r="Y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</row>
        <row r="420">
          <cell r="I420" t="str">
            <v>7920</v>
          </cell>
          <cell r="K420" t="str">
            <v>20</v>
          </cell>
          <cell r="N420" t="str">
            <v/>
          </cell>
          <cell r="O420" t="str">
            <v>F</v>
          </cell>
          <cell r="S420">
            <v>48130830</v>
          </cell>
          <cell r="Y420">
            <v>0</v>
          </cell>
          <cell r="AB420">
            <v>11243222</v>
          </cell>
          <cell r="AC420">
            <v>0</v>
          </cell>
          <cell r="AD420">
            <v>15450815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141571</v>
          </cell>
          <cell r="AJ420">
            <v>0</v>
          </cell>
          <cell r="AK420">
            <v>0</v>
          </cell>
          <cell r="AL420">
            <v>0</v>
          </cell>
          <cell r="AM420">
            <v>22046703</v>
          </cell>
          <cell r="AN420">
            <v>27635867</v>
          </cell>
          <cell r="AO420">
            <v>0</v>
          </cell>
          <cell r="AP420">
            <v>227655</v>
          </cell>
          <cell r="AQ420">
            <v>10675093</v>
          </cell>
          <cell r="AR420">
            <v>5844099</v>
          </cell>
          <cell r="AS420">
            <v>16413</v>
          </cell>
          <cell r="AT420">
            <v>0</v>
          </cell>
          <cell r="AU420">
            <v>-164694</v>
          </cell>
          <cell r="AV420">
            <v>2569249</v>
          </cell>
          <cell r="AW420">
            <v>3273470</v>
          </cell>
          <cell r="AX420">
            <v>36194</v>
          </cell>
          <cell r="AY420">
            <v>0</v>
          </cell>
          <cell r="AZ420">
            <v>0</v>
          </cell>
        </row>
        <row r="421">
          <cell r="I421" t="str">
            <v>7920</v>
          </cell>
          <cell r="K421" t="str">
            <v>20</v>
          </cell>
          <cell r="N421" t="str">
            <v/>
          </cell>
          <cell r="O421" t="str">
            <v>F</v>
          </cell>
          <cell r="S421">
            <v>-95640</v>
          </cell>
          <cell r="Y421">
            <v>0</v>
          </cell>
          <cell r="AB421">
            <v>-22238</v>
          </cell>
          <cell r="AC421">
            <v>0</v>
          </cell>
          <cell r="AD421">
            <v>-30700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-277</v>
          </cell>
          <cell r="AJ421">
            <v>0</v>
          </cell>
          <cell r="AK421">
            <v>0</v>
          </cell>
          <cell r="AL421">
            <v>0</v>
          </cell>
          <cell r="AM421">
            <v>-43844</v>
          </cell>
          <cell r="AN421">
            <v>-54950</v>
          </cell>
          <cell r="AO421">
            <v>0</v>
          </cell>
          <cell r="AP421">
            <v>-442</v>
          </cell>
          <cell r="AQ421">
            <v>-21206</v>
          </cell>
          <cell r="AR421">
            <v>-11602</v>
          </cell>
          <cell r="AS421">
            <v>-33</v>
          </cell>
          <cell r="AT421">
            <v>0</v>
          </cell>
          <cell r="AU421">
            <v>329</v>
          </cell>
          <cell r="AV421">
            <v>-5103</v>
          </cell>
          <cell r="AW421">
            <v>-6508</v>
          </cell>
          <cell r="AX421">
            <v>-70</v>
          </cell>
          <cell r="AY421">
            <v>0</v>
          </cell>
          <cell r="AZ421">
            <v>0</v>
          </cell>
        </row>
        <row r="422">
          <cell r="I422" t="str">
            <v>7920</v>
          </cell>
          <cell r="K422" t="str">
            <v>20</v>
          </cell>
          <cell r="N422" t="str">
            <v/>
          </cell>
          <cell r="O422" t="str">
            <v>F</v>
          </cell>
          <cell r="S422">
            <v>-350064</v>
          </cell>
          <cell r="Y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</row>
        <row r="423">
          <cell r="I423" t="str">
            <v>7920</v>
          </cell>
          <cell r="K423" t="str">
            <v>20</v>
          </cell>
          <cell r="N423" t="str">
            <v/>
          </cell>
          <cell r="O423" t="str">
            <v>F</v>
          </cell>
          <cell r="S423">
            <v>73924938</v>
          </cell>
          <cell r="Y423">
            <v>0</v>
          </cell>
          <cell r="AB423">
            <v>14705306</v>
          </cell>
          <cell r="AC423">
            <v>0</v>
          </cell>
          <cell r="AD423">
            <v>16895739</v>
          </cell>
          <cell r="AE423">
            <v>0</v>
          </cell>
          <cell r="AF423">
            <v>0</v>
          </cell>
          <cell r="AG423">
            <v>118203</v>
          </cell>
          <cell r="AH423">
            <v>0</v>
          </cell>
          <cell r="AI423">
            <v>226732</v>
          </cell>
          <cell r="AJ423">
            <v>0</v>
          </cell>
          <cell r="AK423">
            <v>0</v>
          </cell>
          <cell r="AL423">
            <v>0</v>
          </cell>
          <cell r="AM423">
            <v>16208242</v>
          </cell>
          <cell r="AN423">
            <v>20676793</v>
          </cell>
          <cell r="AO423">
            <v>0</v>
          </cell>
          <cell r="AP423">
            <v>253861</v>
          </cell>
          <cell r="AQ423">
            <v>8010626</v>
          </cell>
          <cell r="AR423">
            <v>6133820</v>
          </cell>
          <cell r="AS423">
            <v>11094</v>
          </cell>
          <cell r="AT423">
            <v>0</v>
          </cell>
          <cell r="AU423">
            <v>-151317</v>
          </cell>
          <cell r="AV423">
            <v>3958334</v>
          </cell>
          <cell r="AW423">
            <v>3361237</v>
          </cell>
          <cell r="AX423">
            <v>39339</v>
          </cell>
          <cell r="AY423">
            <v>0</v>
          </cell>
          <cell r="AZ423">
            <v>0</v>
          </cell>
        </row>
        <row r="424">
          <cell r="I424" t="str">
            <v>7920</v>
          </cell>
          <cell r="K424" t="str">
            <v>20</v>
          </cell>
          <cell r="N424" t="str">
            <v/>
          </cell>
          <cell r="O424" t="str">
            <v>F</v>
          </cell>
          <cell r="S424">
            <v>-71730</v>
          </cell>
          <cell r="Y424">
            <v>0</v>
          </cell>
          <cell r="AB424">
            <v>-14744</v>
          </cell>
          <cell r="AC424">
            <v>0</v>
          </cell>
          <cell r="AD424">
            <v>-16401</v>
          </cell>
          <cell r="AE424">
            <v>0</v>
          </cell>
          <cell r="AF424">
            <v>0</v>
          </cell>
          <cell r="AG424">
            <v>-118</v>
          </cell>
          <cell r="AH424">
            <v>0</v>
          </cell>
          <cell r="AI424">
            <v>-219</v>
          </cell>
          <cell r="AJ424">
            <v>0</v>
          </cell>
          <cell r="AK424">
            <v>0</v>
          </cell>
          <cell r="AL424">
            <v>0</v>
          </cell>
          <cell r="AM424">
            <v>-15659</v>
          </cell>
          <cell r="AN424">
            <v>-19953</v>
          </cell>
          <cell r="AO424">
            <v>0</v>
          </cell>
          <cell r="AP424">
            <v>-303</v>
          </cell>
          <cell r="AQ424">
            <v>-7777</v>
          </cell>
          <cell r="AR424">
            <v>-6034</v>
          </cell>
          <cell r="AS424">
            <v>-13</v>
          </cell>
          <cell r="AT424">
            <v>0</v>
          </cell>
          <cell r="AU424">
            <v>144</v>
          </cell>
          <cell r="AV424">
            <v>-3835</v>
          </cell>
          <cell r="AW424">
            <v>-3263</v>
          </cell>
          <cell r="AX424">
            <v>-42</v>
          </cell>
          <cell r="AY424">
            <v>0</v>
          </cell>
          <cell r="AZ424">
            <v>0</v>
          </cell>
        </row>
        <row r="425">
          <cell r="I425" t="str">
            <v>3100</v>
          </cell>
          <cell r="K425" t="str">
            <v>10</v>
          </cell>
          <cell r="N425" t="str">
            <v>1</v>
          </cell>
          <cell r="O425" t="str">
            <v>D</v>
          </cell>
          <cell r="S425">
            <v>0</v>
          </cell>
          <cell r="Y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</row>
        <row r="426">
          <cell r="I426" t="str">
            <v>3100</v>
          </cell>
          <cell r="K426" t="str">
            <v>10</v>
          </cell>
          <cell r="N426" t="str">
            <v>1</v>
          </cell>
          <cell r="O426" t="str">
            <v>D</v>
          </cell>
          <cell r="S426">
            <v>0</v>
          </cell>
          <cell r="Y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</row>
        <row r="427">
          <cell r="I427" t="str">
            <v>3100</v>
          </cell>
          <cell r="K427" t="str">
            <v>30</v>
          </cell>
          <cell r="N427" t="str">
            <v>1</v>
          </cell>
          <cell r="O427" t="str">
            <v>D</v>
          </cell>
          <cell r="S427">
            <v>0</v>
          </cell>
          <cell r="Y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</row>
        <row r="428">
          <cell r="I428" t="str">
            <v>3100</v>
          </cell>
          <cell r="K428" t="str">
            <v>30</v>
          </cell>
          <cell r="N428" t="str">
            <v>1</v>
          </cell>
          <cell r="O428" t="str">
            <v>D</v>
          </cell>
          <cell r="S428">
            <v>0</v>
          </cell>
          <cell r="Y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</row>
        <row r="429">
          <cell r="I429" t="str">
            <v>3100</v>
          </cell>
          <cell r="K429" t="str">
            <v>30</v>
          </cell>
          <cell r="N429" t="str">
            <v>1</v>
          </cell>
          <cell r="O429" t="str">
            <v>D</v>
          </cell>
          <cell r="S429">
            <v>0</v>
          </cell>
          <cell r="Y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</row>
        <row r="430">
          <cell r="I430" t="str">
            <v>3100</v>
          </cell>
          <cell r="K430" t="str">
            <v>30</v>
          </cell>
          <cell r="N430" t="str">
            <v>1</v>
          </cell>
          <cell r="O430" t="str">
            <v>D</v>
          </cell>
          <cell r="S430">
            <v>0</v>
          </cell>
          <cell r="Y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</row>
        <row r="431">
          <cell r="I431" t="str">
            <v>7920</v>
          </cell>
          <cell r="K431" t="str">
            <v>30</v>
          </cell>
          <cell r="N431" t="str">
            <v>1</v>
          </cell>
          <cell r="O431" t="str">
            <v>D</v>
          </cell>
          <cell r="S431">
            <v>0</v>
          </cell>
          <cell r="Y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</row>
        <row r="432">
          <cell r="I432" t="str">
            <v>3100</v>
          </cell>
          <cell r="K432" t="str">
            <v>10</v>
          </cell>
          <cell r="N432" t="str">
            <v/>
          </cell>
          <cell r="O432" t="str">
            <v>F</v>
          </cell>
          <cell r="S432">
            <v>1968250</v>
          </cell>
          <cell r="Y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</row>
        <row r="433">
          <cell r="I433" t="str">
            <v>3100</v>
          </cell>
          <cell r="K433" t="str">
            <v>10</v>
          </cell>
          <cell r="N433" t="str">
            <v/>
          </cell>
          <cell r="O433" t="str">
            <v>F</v>
          </cell>
          <cell r="S433">
            <v>2139208</v>
          </cell>
          <cell r="Y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</row>
        <row r="434">
          <cell r="I434" t="str">
            <v>7900</v>
          </cell>
          <cell r="K434" t="str">
            <v>90</v>
          </cell>
          <cell r="N434" t="str">
            <v/>
          </cell>
          <cell r="O434" t="str">
            <v>F</v>
          </cell>
          <cell r="S434">
            <v>11697392</v>
          </cell>
          <cell r="Y434">
            <v>0</v>
          </cell>
          <cell r="AB434">
            <v>10712936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163047</v>
          </cell>
          <cell r="AN434">
            <v>219170</v>
          </cell>
          <cell r="AO434">
            <v>0</v>
          </cell>
          <cell r="AP434">
            <v>164049</v>
          </cell>
          <cell r="AQ434">
            <v>287656</v>
          </cell>
          <cell r="AR434">
            <v>337274</v>
          </cell>
          <cell r="AS434">
            <v>6</v>
          </cell>
          <cell r="AT434">
            <v>0</v>
          </cell>
          <cell r="AU434">
            <v>-92945</v>
          </cell>
          <cell r="AV434">
            <v>0</v>
          </cell>
          <cell r="AW434">
            <v>18375</v>
          </cell>
          <cell r="AX434">
            <v>3273</v>
          </cell>
          <cell r="AY434">
            <v>0</v>
          </cell>
          <cell r="AZ434">
            <v>0</v>
          </cell>
        </row>
        <row r="435">
          <cell r="I435" t="str">
            <v>3100</v>
          </cell>
          <cell r="K435" t="str">
            <v>30</v>
          </cell>
          <cell r="N435" t="str">
            <v>1</v>
          </cell>
          <cell r="O435" t="str">
            <v>D</v>
          </cell>
          <cell r="S435">
            <v>0</v>
          </cell>
          <cell r="Y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</row>
        <row r="436">
          <cell r="I436" t="str">
            <v>3100</v>
          </cell>
          <cell r="K436" t="str">
            <v>30</v>
          </cell>
          <cell r="N436" t="str">
            <v>1</v>
          </cell>
          <cell r="O436" t="str">
            <v>D</v>
          </cell>
          <cell r="S436">
            <v>0</v>
          </cell>
          <cell r="Y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I437" t="str">
            <v>7920</v>
          </cell>
          <cell r="K437" t="str">
            <v>10</v>
          </cell>
          <cell r="N437" t="str">
            <v>1</v>
          </cell>
          <cell r="O437" t="str">
            <v>D</v>
          </cell>
          <cell r="S437">
            <v>0</v>
          </cell>
          <cell r="Y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</row>
        <row r="438">
          <cell r="I438" t="str">
            <v>7920</v>
          </cell>
          <cell r="K438" t="str">
            <v>20</v>
          </cell>
          <cell r="N438" t="str">
            <v>1</v>
          </cell>
          <cell r="O438" t="str">
            <v>D</v>
          </cell>
          <cell r="S438">
            <v>0</v>
          </cell>
          <cell r="Y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</row>
        <row r="439">
          <cell r="I439" t="str">
            <v>7920</v>
          </cell>
          <cell r="K439" t="str">
            <v>10</v>
          </cell>
          <cell r="N439" t="str">
            <v>1</v>
          </cell>
          <cell r="O439" t="str">
            <v>D</v>
          </cell>
          <cell r="S439">
            <v>0</v>
          </cell>
          <cell r="Y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</row>
        <row r="440">
          <cell r="I440" t="str">
            <v>7920</v>
          </cell>
          <cell r="K440" t="str">
            <v>20</v>
          </cell>
          <cell r="N440" t="str">
            <v>1</v>
          </cell>
          <cell r="O440" t="str">
            <v>D</v>
          </cell>
          <cell r="S440">
            <v>0</v>
          </cell>
          <cell r="Y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</row>
        <row r="441">
          <cell r="I441" t="str">
            <v>7920</v>
          </cell>
          <cell r="K441" t="str">
            <v>10</v>
          </cell>
          <cell r="N441" t="str">
            <v/>
          </cell>
          <cell r="O441" t="str">
            <v>F</v>
          </cell>
          <cell r="S441">
            <v>4019976</v>
          </cell>
          <cell r="Y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</row>
        <row r="442">
          <cell r="I442" t="str">
            <v>7920</v>
          </cell>
          <cell r="K442" t="str">
            <v>20</v>
          </cell>
          <cell r="N442" t="str">
            <v/>
          </cell>
          <cell r="O442" t="str">
            <v>F</v>
          </cell>
          <cell r="S442">
            <v>1339992</v>
          </cell>
          <cell r="Y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</row>
        <row r="443">
          <cell r="I443" t="str">
            <v>7920</v>
          </cell>
          <cell r="K443" t="str">
            <v>10</v>
          </cell>
          <cell r="N443" t="str">
            <v/>
          </cell>
          <cell r="O443" t="str">
            <v>F</v>
          </cell>
          <cell r="S443">
            <v>-1064532</v>
          </cell>
          <cell r="Y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</row>
        <row r="444">
          <cell r="I444" t="str">
            <v>7920</v>
          </cell>
          <cell r="K444" t="str">
            <v>10</v>
          </cell>
          <cell r="N444" t="str">
            <v/>
          </cell>
          <cell r="O444" t="str">
            <v>F</v>
          </cell>
          <cell r="S444">
            <v>145191601</v>
          </cell>
          <cell r="Y444">
            <v>0</v>
          </cell>
          <cell r="AB444">
            <v>54281605</v>
          </cell>
          <cell r="AC444">
            <v>10045742</v>
          </cell>
          <cell r="AD444">
            <v>34134470</v>
          </cell>
          <cell r="AE444">
            <v>0</v>
          </cell>
          <cell r="AF444">
            <v>0</v>
          </cell>
          <cell r="AG444">
            <v>588587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23066589</v>
          </cell>
          <cell r="AN444">
            <v>30310840</v>
          </cell>
          <cell r="AO444">
            <v>0</v>
          </cell>
          <cell r="AP444">
            <v>362645</v>
          </cell>
          <cell r="AQ444">
            <v>11899716</v>
          </cell>
          <cell r="AR444">
            <v>7955694</v>
          </cell>
          <cell r="AS444">
            <v>17409</v>
          </cell>
          <cell r="AT444">
            <v>0</v>
          </cell>
          <cell r="AU444">
            <v>-456361</v>
          </cell>
          <cell r="AV444">
            <v>2849599</v>
          </cell>
          <cell r="AW444">
            <v>4303055</v>
          </cell>
          <cell r="AX444">
            <v>97076</v>
          </cell>
          <cell r="AY444">
            <v>0</v>
          </cell>
          <cell r="AZ444">
            <v>0</v>
          </cell>
        </row>
        <row r="445">
          <cell r="I445" t="str">
            <v>7920</v>
          </cell>
          <cell r="K445" t="str">
            <v>20</v>
          </cell>
          <cell r="N445" t="str">
            <v/>
          </cell>
          <cell r="O445" t="str">
            <v>F</v>
          </cell>
          <cell r="S445">
            <v>-794948</v>
          </cell>
          <cell r="Y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</row>
        <row r="446">
          <cell r="I446" t="str">
            <v>7920</v>
          </cell>
          <cell r="K446" t="str">
            <v>20</v>
          </cell>
          <cell r="N446" t="str">
            <v/>
          </cell>
          <cell r="O446" t="str">
            <v>F</v>
          </cell>
          <cell r="S446">
            <v>114553906</v>
          </cell>
          <cell r="Y446">
            <v>0</v>
          </cell>
          <cell r="AB446">
            <v>42831242</v>
          </cell>
          <cell r="AC446">
            <v>7926731</v>
          </cell>
          <cell r="AD446">
            <v>26934274</v>
          </cell>
          <cell r="AE446">
            <v>0</v>
          </cell>
          <cell r="AF446">
            <v>0</v>
          </cell>
          <cell r="AG446">
            <v>464408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18200995</v>
          </cell>
          <cell r="AN446">
            <v>23917165</v>
          </cell>
          <cell r="AO446">
            <v>0</v>
          </cell>
          <cell r="AP446">
            <v>286121</v>
          </cell>
          <cell r="AQ446">
            <v>9389613</v>
          </cell>
          <cell r="AR446">
            <v>6277511</v>
          </cell>
          <cell r="AS446">
            <v>13740</v>
          </cell>
          <cell r="AT446">
            <v>0</v>
          </cell>
          <cell r="AU446">
            <v>-360112</v>
          </cell>
          <cell r="AV446">
            <v>2248521</v>
          </cell>
          <cell r="AW446">
            <v>3395376</v>
          </cell>
          <cell r="AX446">
            <v>76608</v>
          </cell>
          <cell r="AY446">
            <v>0</v>
          </cell>
          <cell r="AZ446">
            <v>0</v>
          </cell>
        </row>
        <row r="447">
          <cell r="I447" t="str">
            <v>3100</v>
          </cell>
          <cell r="K447" t="str">
            <v>10</v>
          </cell>
          <cell r="N447" t="str">
            <v>1</v>
          </cell>
          <cell r="O447" t="str">
            <v>D</v>
          </cell>
          <cell r="S447">
            <v>0</v>
          </cell>
          <cell r="Y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</row>
        <row r="448">
          <cell r="I448" t="str">
            <v>3100</v>
          </cell>
          <cell r="K448" t="str">
            <v>10</v>
          </cell>
          <cell r="N448" t="str">
            <v>1</v>
          </cell>
          <cell r="O448" t="str">
            <v>D</v>
          </cell>
          <cell r="S448">
            <v>0</v>
          </cell>
          <cell r="Y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</row>
        <row r="449">
          <cell r="I449" t="str">
            <v>3100</v>
          </cell>
          <cell r="K449" t="str">
            <v>10</v>
          </cell>
          <cell r="N449" t="str">
            <v>1</v>
          </cell>
          <cell r="O449" t="str">
            <v>D</v>
          </cell>
          <cell r="S449">
            <v>0</v>
          </cell>
          <cell r="Y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</row>
        <row r="450">
          <cell r="I450" t="str">
            <v>3100</v>
          </cell>
          <cell r="K450" t="str">
            <v>10</v>
          </cell>
          <cell r="N450" t="str">
            <v>1</v>
          </cell>
          <cell r="O450" t="str">
            <v>D</v>
          </cell>
          <cell r="S450">
            <v>0</v>
          </cell>
          <cell r="Y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</row>
        <row r="451">
          <cell r="I451" t="str">
            <v>3100</v>
          </cell>
          <cell r="K451" t="str">
            <v>10</v>
          </cell>
          <cell r="N451" t="str">
            <v>1</v>
          </cell>
          <cell r="O451" t="str">
            <v>D</v>
          </cell>
          <cell r="S451">
            <v>0</v>
          </cell>
          <cell r="Y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</row>
        <row r="452">
          <cell r="I452" t="str">
            <v>3100</v>
          </cell>
          <cell r="K452" t="str">
            <v>30</v>
          </cell>
          <cell r="N452" t="str">
            <v>1</v>
          </cell>
          <cell r="O452" t="str">
            <v>D</v>
          </cell>
          <cell r="S452">
            <v>0</v>
          </cell>
          <cell r="Y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</row>
        <row r="453">
          <cell r="I453" t="str">
            <v>3100</v>
          </cell>
          <cell r="K453" t="str">
            <v>30</v>
          </cell>
          <cell r="N453" t="str">
            <v>1</v>
          </cell>
          <cell r="O453" t="str">
            <v>D</v>
          </cell>
          <cell r="S453">
            <v>0</v>
          </cell>
          <cell r="Y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</row>
        <row r="454">
          <cell r="I454" t="str">
            <v>3100</v>
          </cell>
          <cell r="K454" t="str">
            <v>30</v>
          </cell>
          <cell r="N454" t="str">
            <v>1</v>
          </cell>
          <cell r="O454" t="str">
            <v>D</v>
          </cell>
          <cell r="S454">
            <v>0</v>
          </cell>
          <cell r="Y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</row>
        <row r="455">
          <cell r="I455" t="str">
            <v>3100</v>
          </cell>
          <cell r="K455" t="str">
            <v>30</v>
          </cell>
          <cell r="N455" t="str">
            <v>1</v>
          </cell>
          <cell r="O455" t="str">
            <v>D</v>
          </cell>
          <cell r="S455">
            <v>0</v>
          </cell>
          <cell r="Y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</row>
        <row r="456">
          <cell r="I456" t="str">
            <v>3100</v>
          </cell>
          <cell r="K456" t="str">
            <v>30</v>
          </cell>
          <cell r="N456" t="str">
            <v>1</v>
          </cell>
          <cell r="O456" t="str">
            <v>D</v>
          </cell>
          <cell r="S456">
            <v>0</v>
          </cell>
          <cell r="Y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</row>
        <row r="457">
          <cell r="I457" t="str">
            <v>3100</v>
          </cell>
          <cell r="K457" t="str">
            <v>30</v>
          </cell>
          <cell r="N457" t="str">
            <v>1</v>
          </cell>
          <cell r="O457" t="str">
            <v>D</v>
          </cell>
          <cell r="S457">
            <v>0</v>
          </cell>
          <cell r="Y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</row>
        <row r="458">
          <cell r="I458" t="str">
            <v>7900</v>
          </cell>
          <cell r="K458" t="str">
            <v>10</v>
          </cell>
          <cell r="N458" t="str">
            <v>1</v>
          </cell>
          <cell r="O458" t="str">
            <v>D</v>
          </cell>
          <cell r="S458">
            <v>0</v>
          </cell>
          <cell r="Y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</row>
        <row r="459">
          <cell r="I459" t="str">
            <v>7900</v>
          </cell>
          <cell r="K459" t="str">
            <v>30</v>
          </cell>
          <cell r="N459" t="str">
            <v>1</v>
          </cell>
          <cell r="O459" t="str">
            <v>D</v>
          </cell>
          <cell r="S459">
            <v>0</v>
          </cell>
          <cell r="Y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</row>
        <row r="460">
          <cell r="I460" t="str">
            <v>7900</v>
          </cell>
          <cell r="K460" t="str">
            <v>30</v>
          </cell>
          <cell r="N460" t="str">
            <v>1</v>
          </cell>
          <cell r="O460" t="str">
            <v>D</v>
          </cell>
          <cell r="S460">
            <v>0</v>
          </cell>
          <cell r="Y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</row>
        <row r="461">
          <cell r="I461" t="str">
            <v>7900</v>
          </cell>
          <cell r="K461" t="str">
            <v>30</v>
          </cell>
          <cell r="N461" t="str">
            <v>1</v>
          </cell>
          <cell r="O461" t="str">
            <v>D</v>
          </cell>
          <cell r="S461">
            <v>0</v>
          </cell>
          <cell r="Y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</row>
        <row r="462">
          <cell r="I462" t="str">
            <v>7920</v>
          </cell>
          <cell r="K462" t="str">
            <v>10</v>
          </cell>
          <cell r="N462" t="str">
            <v>1</v>
          </cell>
          <cell r="O462" t="str">
            <v>D</v>
          </cell>
          <cell r="S462">
            <v>0</v>
          </cell>
          <cell r="Y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</row>
        <row r="463">
          <cell r="I463" t="str">
            <v>7920</v>
          </cell>
          <cell r="K463" t="str">
            <v>10</v>
          </cell>
          <cell r="N463" t="str">
            <v>1</v>
          </cell>
          <cell r="O463" t="str">
            <v>D</v>
          </cell>
          <cell r="S463">
            <v>0</v>
          </cell>
          <cell r="Y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</row>
        <row r="464">
          <cell r="I464" t="str">
            <v>7920</v>
          </cell>
          <cell r="K464" t="str">
            <v>10</v>
          </cell>
          <cell r="N464" t="str">
            <v>1</v>
          </cell>
          <cell r="O464" t="str">
            <v>D</v>
          </cell>
          <cell r="S464">
            <v>0</v>
          </cell>
          <cell r="Y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</row>
        <row r="465">
          <cell r="I465" t="str">
            <v>7920</v>
          </cell>
          <cell r="K465" t="str">
            <v>20</v>
          </cell>
          <cell r="N465" t="str">
            <v>1</v>
          </cell>
          <cell r="O465" t="str">
            <v>D</v>
          </cell>
          <cell r="S465">
            <v>0</v>
          </cell>
          <cell r="Y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</row>
        <row r="466">
          <cell r="I466" t="str">
            <v>7920</v>
          </cell>
          <cell r="K466" t="str">
            <v>20</v>
          </cell>
          <cell r="N466" t="str">
            <v>1</v>
          </cell>
          <cell r="O466" t="str">
            <v>D</v>
          </cell>
          <cell r="S466">
            <v>0</v>
          </cell>
          <cell r="Y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</row>
        <row r="467">
          <cell r="I467" t="str">
            <v>7920</v>
          </cell>
          <cell r="K467" t="str">
            <v>30</v>
          </cell>
          <cell r="N467" t="str">
            <v>1</v>
          </cell>
          <cell r="O467" t="str">
            <v>D</v>
          </cell>
          <cell r="S467">
            <v>0</v>
          </cell>
          <cell r="Y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</row>
        <row r="468">
          <cell r="I468" t="str">
            <v>7920</v>
          </cell>
          <cell r="K468" t="str">
            <v>10</v>
          </cell>
          <cell r="N468" t="str">
            <v>1</v>
          </cell>
          <cell r="O468" t="str">
            <v>D</v>
          </cell>
          <cell r="S468">
            <v>0</v>
          </cell>
          <cell r="Y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</row>
        <row r="469">
          <cell r="I469" t="str">
            <v>7920</v>
          </cell>
          <cell r="K469" t="str">
            <v>20</v>
          </cell>
          <cell r="N469" t="str">
            <v>1</v>
          </cell>
          <cell r="O469" t="str">
            <v>D</v>
          </cell>
          <cell r="S469">
            <v>0</v>
          </cell>
          <cell r="Y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</row>
        <row r="470">
          <cell r="I470" t="str">
            <v>3011</v>
          </cell>
          <cell r="K470" t="str">
            <v>90</v>
          </cell>
          <cell r="N470" t="str">
            <v/>
          </cell>
          <cell r="O470" t="str">
            <v>F</v>
          </cell>
          <cell r="S470">
            <v>1116164506</v>
          </cell>
          <cell r="Y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1122828430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</row>
        <row r="471">
          <cell r="I471" t="str">
            <v>3011</v>
          </cell>
          <cell r="K471" t="str">
            <v>90</v>
          </cell>
          <cell r="N471" t="str">
            <v/>
          </cell>
          <cell r="O471" t="str">
            <v>F</v>
          </cell>
          <cell r="S471">
            <v>160313130</v>
          </cell>
          <cell r="Y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149728320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</row>
        <row r="472">
          <cell r="I472" t="str">
            <v>3012</v>
          </cell>
          <cell r="K472" t="str">
            <v>90</v>
          </cell>
          <cell r="N472" t="str">
            <v/>
          </cell>
          <cell r="O472" t="str">
            <v>F</v>
          </cell>
          <cell r="S472">
            <v>1981565471</v>
          </cell>
          <cell r="Y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1921825968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</row>
        <row r="473">
          <cell r="I473" t="str">
            <v>3100</v>
          </cell>
          <cell r="K473" t="str">
            <v>10</v>
          </cell>
          <cell r="N473" t="str">
            <v>1</v>
          </cell>
          <cell r="O473" t="str">
            <v>I</v>
          </cell>
          <cell r="S473">
            <v>0</v>
          </cell>
          <cell r="Y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</row>
        <row r="474">
          <cell r="I474" t="str">
            <v>3100</v>
          </cell>
          <cell r="K474" t="str">
            <v>10</v>
          </cell>
          <cell r="N474" t="str">
            <v/>
          </cell>
          <cell r="O474" t="str">
            <v>F</v>
          </cell>
          <cell r="S474">
            <v>34427312</v>
          </cell>
          <cell r="Y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18769479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</row>
        <row r="475">
          <cell r="I475" t="str">
            <v>3100</v>
          </cell>
          <cell r="K475" t="str">
            <v>10</v>
          </cell>
          <cell r="N475" t="str">
            <v/>
          </cell>
          <cell r="O475" t="str">
            <v>F</v>
          </cell>
          <cell r="S475">
            <v>40062000</v>
          </cell>
          <cell r="Y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19168600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</row>
        <row r="476">
          <cell r="I476" t="str">
            <v>3100</v>
          </cell>
          <cell r="K476" t="str">
            <v>10</v>
          </cell>
          <cell r="N476" t="str">
            <v>1</v>
          </cell>
          <cell r="O476" t="str">
            <v>I</v>
          </cell>
          <cell r="S476">
            <v>0</v>
          </cell>
          <cell r="Y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</row>
        <row r="477">
          <cell r="I477" t="str">
            <v>3100</v>
          </cell>
          <cell r="K477" t="str">
            <v>10</v>
          </cell>
          <cell r="N477" t="str">
            <v/>
          </cell>
          <cell r="O477" t="str">
            <v>F</v>
          </cell>
          <cell r="S477">
            <v>11077958</v>
          </cell>
          <cell r="Y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7693198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</row>
        <row r="478">
          <cell r="I478" t="str">
            <v>3100</v>
          </cell>
          <cell r="K478" t="str">
            <v>10</v>
          </cell>
          <cell r="N478" t="str">
            <v/>
          </cell>
          <cell r="O478" t="str">
            <v>F</v>
          </cell>
          <cell r="S478">
            <v>5485040</v>
          </cell>
          <cell r="Y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4190773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</row>
        <row r="479">
          <cell r="I479" t="str">
            <v>3100</v>
          </cell>
          <cell r="K479" t="str">
            <v>10</v>
          </cell>
          <cell r="N479" t="str">
            <v/>
          </cell>
          <cell r="O479" t="str">
            <v>F</v>
          </cell>
          <cell r="S479">
            <v>75720</v>
          </cell>
          <cell r="Y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49908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</row>
        <row r="480">
          <cell r="I480" t="str">
            <v>3100</v>
          </cell>
          <cell r="K480" t="str">
            <v>30</v>
          </cell>
          <cell r="N480" t="str">
            <v>1</v>
          </cell>
          <cell r="O480" t="str">
            <v>I</v>
          </cell>
          <cell r="S480">
            <v>0</v>
          </cell>
          <cell r="Y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</row>
        <row r="481">
          <cell r="I481" t="str">
            <v>3100</v>
          </cell>
          <cell r="K481" t="str">
            <v>30</v>
          </cell>
          <cell r="N481" t="str">
            <v>1</v>
          </cell>
          <cell r="O481" t="str">
            <v>I</v>
          </cell>
          <cell r="S481">
            <v>0</v>
          </cell>
          <cell r="Y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</row>
        <row r="482">
          <cell r="I482" t="str">
            <v>3100</v>
          </cell>
          <cell r="K482" t="str">
            <v>30</v>
          </cell>
          <cell r="N482" t="str">
            <v>1</v>
          </cell>
          <cell r="O482" t="str">
            <v>I</v>
          </cell>
          <cell r="S482">
            <v>0</v>
          </cell>
          <cell r="Y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</row>
        <row r="483">
          <cell r="I483" t="str">
            <v>3100</v>
          </cell>
          <cell r="K483" t="str">
            <v>30</v>
          </cell>
          <cell r="N483" t="str">
            <v>1</v>
          </cell>
          <cell r="O483" t="str">
            <v>I</v>
          </cell>
          <cell r="S483">
            <v>0</v>
          </cell>
          <cell r="Y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</row>
        <row r="484">
          <cell r="I484" t="str">
            <v>7900</v>
          </cell>
          <cell r="K484" t="str">
            <v>10</v>
          </cell>
          <cell r="N484" t="str">
            <v/>
          </cell>
          <cell r="O484" t="str">
            <v>F</v>
          </cell>
          <cell r="S484">
            <v>1935000</v>
          </cell>
          <cell r="Y484">
            <v>0</v>
          </cell>
          <cell r="AB484">
            <v>1751489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97907</v>
          </cell>
          <cell r="AN484">
            <v>159174</v>
          </cell>
          <cell r="AO484">
            <v>0</v>
          </cell>
          <cell r="AP484">
            <v>5523</v>
          </cell>
          <cell r="AQ484">
            <v>63243</v>
          </cell>
          <cell r="AR484">
            <v>34677</v>
          </cell>
          <cell r="AS484">
            <v>1</v>
          </cell>
          <cell r="AT484">
            <v>0</v>
          </cell>
          <cell r="AU484">
            <v>-7266</v>
          </cell>
          <cell r="AV484">
            <v>22664</v>
          </cell>
          <cell r="AW484">
            <v>9918</v>
          </cell>
          <cell r="AX484">
            <v>9188</v>
          </cell>
          <cell r="AY484">
            <v>0</v>
          </cell>
          <cell r="AZ484">
            <v>0</v>
          </cell>
        </row>
        <row r="485">
          <cell r="I485" t="str">
            <v>7900</v>
          </cell>
          <cell r="K485" t="str">
            <v>90</v>
          </cell>
          <cell r="N485" t="str">
            <v/>
          </cell>
          <cell r="O485" t="str">
            <v>F</v>
          </cell>
          <cell r="S485">
            <v>326941248</v>
          </cell>
          <cell r="Y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490820171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</row>
        <row r="486">
          <cell r="I486" t="str">
            <v>7900</v>
          </cell>
          <cell r="K486" t="str">
            <v>90</v>
          </cell>
          <cell r="N486" t="str">
            <v/>
          </cell>
          <cell r="O486" t="str">
            <v>F</v>
          </cell>
          <cell r="S486">
            <v>22932672</v>
          </cell>
          <cell r="Y486">
            <v>0</v>
          </cell>
          <cell r="AB486">
            <v>26830430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432520</v>
          </cell>
          <cell r="AN486">
            <v>489865</v>
          </cell>
          <cell r="AO486">
            <v>0</v>
          </cell>
          <cell r="AP486">
            <v>8829</v>
          </cell>
          <cell r="AQ486">
            <v>175057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136557</v>
          </cell>
          <cell r="AW486">
            <v>60647</v>
          </cell>
          <cell r="AX486">
            <v>9158</v>
          </cell>
          <cell r="AY486">
            <v>0</v>
          </cell>
          <cell r="AZ486">
            <v>0</v>
          </cell>
        </row>
        <row r="487">
          <cell r="I487" t="str">
            <v>7900</v>
          </cell>
          <cell r="K487" t="str">
            <v>90</v>
          </cell>
          <cell r="N487" t="str">
            <v/>
          </cell>
          <cell r="O487" t="str">
            <v>F</v>
          </cell>
          <cell r="S487">
            <v>50500404</v>
          </cell>
          <cell r="Y487">
            <v>0</v>
          </cell>
          <cell r="AB487">
            <v>60383591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962613</v>
          </cell>
          <cell r="AN487">
            <v>1090258</v>
          </cell>
          <cell r="AO487">
            <v>0</v>
          </cell>
          <cell r="AP487">
            <v>19650</v>
          </cell>
          <cell r="AQ487">
            <v>389663</v>
          </cell>
          <cell r="AR487">
            <v>0</v>
          </cell>
          <cell r="AS487">
            <v>0</v>
          </cell>
          <cell r="AT487">
            <v>0</v>
          </cell>
          <cell r="AU487">
            <v>-158</v>
          </cell>
          <cell r="AV487">
            <v>403121</v>
          </cell>
          <cell r="AW487">
            <v>138435</v>
          </cell>
          <cell r="AX487">
            <v>20585</v>
          </cell>
          <cell r="AY487">
            <v>0</v>
          </cell>
          <cell r="AZ487">
            <v>0</v>
          </cell>
        </row>
        <row r="488">
          <cell r="I488" t="str">
            <v>7900</v>
          </cell>
          <cell r="K488" t="str">
            <v>90</v>
          </cell>
          <cell r="N488" t="str">
            <v/>
          </cell>
          <cell r="O488" t="str">
            <v>F</v>
          </cell>
          <cell r="S488">
            <v>10586436</v>
          </cell>
          <cell r="Y488">
            <v>0</v>
          </cell>
          <cell r="AB488">
            <v>13507720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348836</v>
          </cell>
          <cell r="AN488">
            <v>395086</v>
          </cell>
          <cell r="AO488">
            <v>0</v>
          </cell>
          <cell r="AP488">
            <v>7121</v>
          </cell>
          <cell r="AQ488">
            <v>141187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58372</v>
          </cell>
          <cell r="AX488">
            <v>4706</v>
          </cell>
          <cell r="AY488">
            <v>0</v>
          </cell>
          <cell r="AZ488">
            <v>0</v>
          </cell>
        </row>
        <row r="489">
          <cell r="I489" t="str">
            <v>7920</v>
          </cell>
          <cell r="K489" t="str">
            <v>10</v>
          </cell>
          <cell r="N489" t="str">
            <v/>
          </cell>
          <cell r="O489" t="str">
            <v>F</v>
          </cell>
          <cell r="S489">
            <v>1484850</v>
          </cell>
          <cell r="Y489">
            <v>0</v>
          </cell>
          <cell r="AB489">
            <v>313571</v>
          </cell>
          <cell r="AC489">
            <v>0</v>
          </cell>
          <cell r="AD489">
            <v>214753</v>
          </cell>
          <cell r="AE489">
            <v>556915</v>
          </cell>
          <cell r="AF489">
            <v>0</v>
          </cell>
          <cell r="AG489">
            <v>125</v>
          </cell>
          <cell r="AH489">
            <v>8338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74524</v>
          </cell>
          <cell r="AN489">
            <v>95833</v>
          </cell>
          <cell r="AO489">
            <v>0</v>
          </cell>
          <cell r="AP489">
            <v>126091</v>
          </cell>
          <cell r="AQ489">
            <v>156608</v>
          </cell>
          <cell r="AR489">
            <v>259360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</row>
        <row r="490">
          <cell r="I490" t="str">
            <v>7920</v>
          </cell>
          <cell r="K490" t="str">
            <v>10</v>
          </cell>
          <cell r="N490" t="str">
            <v>1</v>
          </cell>
          <cell r="O490" t="str">
            <v>I</v>
          </cell>
          <cell r="S490">
            <v>0</v>
          </cell>
          <cell r="Y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61737120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</row>
        <row r="491">
          <cell r="I491" t="str">
            <v>7920</v>
          </cell>
          <cell r="K491" t="str">
            <v>10</v>
          </cell>
          <cell r="N491" t="str">
            <v/>
          </cell>
          <cell r="O491" t="str">
            <v>F</v>
          </cell>
          <cell r="S491">
            <v>-506328</v>
          </cell>
          <cell r="Y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</row>
        <row r="492">
          <cell r="I492" t="str">
            <v>7920</v>
          </cell>
          <cell r="K492" t="str">
            <v>10</v>
          </cell>
          <cell r="N492" t="str">
            <v/>
          </cell>
          <cell r="O492" t="str">
            <v>F</v>
          </cell>
          <cell r="S492">
            <v>154</v>
          </cell>
          <cell r="Y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</row>
        <row r="493">
          <cell r="I493" t="str">
            <v>7920</v>
          </cell>
          <cell r="K493" t="str">
            <v>10</v>
          </cell>
          <cell r="N493" t="str">
            <v/>
          </cell>
          <cell r="O493" t="str">
            <v>F</v>
          </cell>
          <cell r="S493">
            <v>703000613</v>
          </cell>
          <cell r="Y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587497269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</row>
        <row r="494">
          <cell r="I494" t="str">
            <v>7920</v>
          </cell>
          <cell r="K494" t="str">
            <v>10</v>
          </cell>
          <cell r="N494" t="str">
            <v/>
          </cell>
          <cell r="O494" t="str">
            <v>F</v>
          </cell>
          <cell r="S494">
            <v>-425470</v>
          </cell>
          <cell r="Y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-364581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</row>
        <row r="495">
          <cell r="I495" t="str">
            <v>7920</v>
          </cell>
          <cell r="K495" t="str">
            <v>10</v>
          </cell>
          <cell r="N495" t="str">
            <v>1</v>
          </cell>
          <cell r="O495" t="str">
            <v>I</v>
          </cell>
          <cell r="S495">
            <v>0</v>
          </cell>
          <cell r="Y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39494051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</row>
        <row r="496">
          <cell r="I496" t="str">
            <v>7920</v>
          </cell>
          <cell r="K496" t="str">
            <v>10</v>
          </cell>
          <cell r="N496" t="str">
            <v/>
          </cell>
          <cell r="O496" t="str">
            <v>F</v>
          </cell>
          <cell r="S496">
            <v>-269733</v>
          </cell>
          <cell r="Y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</row>
        <row r="497">
          <cell r="I497" t="str">
            <v>7920</v>
          </cell>
          <cell r="K497" t="str">
            <v>10</v>
          </cell>
          <cell r="N497" t="str">
            <v/>
          </cell>
          <cell r="O497" t="str">
            <v>F</v>
          </cell>
          <cell r="S497">
            <v>459430863</v>
          </cell>
          <cell r="Y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385146507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</row>
        <row r="498">
          <cell r="I498" t="str">
            <v>7920</v>
          </cell>
          <cell r="K498" t="str">
            <v>20</v>
          </cell>
          <cell r="N498" t="str">
            <v>1</v>
          </cell>
          <cell r="O498" t="str">
            <v>I</v>
          </cell>
          <cell r="S498">
            <v>0</v>
          </cell>
          <cell r="Y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276417467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</row>
        <row r="499">
          <cell r="I499" t="str">
            <v>7920</v>
          </cell>
          <cell r="K499" t="str">
            <v>20</v>
          </cell>
          <cell r="N499" t="str">
            <v/>
          </cell>
          <cell r="O499" t="str">
            <v>F</v>
          </cell>
          <cell r="S499">
            <v>-2189168</v>
          </cell>
          <cell r="Y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</row>
        <row r="500">
          <cell r="I500" t="str">
            <v>7920</v>
          </cell>
          <cell r="K500" t="str">
            <v>20</v>
          </cell>
          <cell r="N500" t="str">
            <v/>
          </cell>
          <cell r="O500" t="str">
            <v>F</v>
          </cell>
          <cell r="S500">
            <v>528385</v>
          </cell>
          <cell r="Y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</row>
        <row r="501">
          <cell r="I501" t="str">
            <v>7920</v>
          </cell>
          <cell r="K501" t="str">
            <v>20</v>
          </cell>
          <cell r="N501" t="str">
            <v/>
          </cell>
          <cell r="O501" t="str">
            <v>F</v>
          </cell>
          <cell r="S501">
            <v>3113947383</v>
          </cell>
          <cell r="Y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2601503794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</row>
        <row r="502">
          <cell r="I502" t="str">
            <v>7920</v>
          </cell>
          <cell r="K502" t="str">
            <v>20</v>
          </cell>
          <cell r="N502" t="str">
            <v>1</v>
          </cell>
          <cell r="O502" t="str">
            <v>I</v>
          </cell>
          <cell r="S502">
            <v>0</v>
          </cell>
          <cell r="Y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83280915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</row>
        <row r="503">
          <cell r="I503" t="str">
            <v>7920</v>
          </cell>
          <cell r="K503" t="str">
            <v>20</v>
          </cell>
          <cell r="N503" t="str">
            <v/>
          </cell>
          <cell r="O503" t="str">
            <v>F</v>
          </cell>
          <cell r="S503">
            <v>-849824</v>
          </cell>
          <cell r="Y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</row>
        <row r="504">
          <cell r="I504" t="str">
            <v>7920</v>
          </cell>
          <cell r="K504" t="str">
            <v>20</v>
          </cell>
          <cell r="N504" t="str">
            <v/>
          </cell>
          <cell r="O504" t="str">
            <v>F</v>
          </cell>
          <cell r="S504">
            <v>910361632</v>
          </cell>
          <cell r="Y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757933125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</row>
        <row r="505">
          <cell r="I505" t="str">
            <v>7920</v>
          </cell>
          <cell r="K505" t="str">
            <v>10</v>
          </cell>
          <cell r="N505" t="str">
            <v/>
          </cell>
          <cell r="O505" t="str">
            <v>F</v>
          </cell>
          <cell r="S505">
            <v>-694891</v>
          </cell>
          <cell r="Y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</row>
        <row r="506">
          <cell r="I506" t="str">
            <v>7920</v>
          </cell>
          <cell r="K506" t="str">
            <v>10</v>
          </cell>
          <cell r="N506" t="str">
            <v/>
          </cell>
          <cell r="O506" t="str">
            <v>F</v>
          </cell>
          <cell r="S506">
            <v>259581009</v>
          </cell>
          <cell r="Y506">
            <v>0</v>
          </cell>
          <cell r="AB506">
            <v>29152104</v>
          </cell>
          <cell r="AC506">
            <v>1274100</v>
          </cell>
          <cell r="AD506">
            <v>54242349</v>
          </cell>
          <cell r="AE506">
            <v>82009553</v>
          </cell>
          <cell r="AF506">
            <v>0</v>
          </cell>
          <cell r="AG506">
            <v>371830</v>
          </cell>
          <cell r="AH506">
            <v>9963879</v>
          </cell>
          <cell r="AI506">
            <v>1051176</v>
          </cell>
          <cell r="AJ506">
            <v>0</v>
          </cell>
          <cell r="AK506">
            <v>0</v>
          </cell>
          <cell r="AL506">
            <v>0</v>
          </cell>
          <cell r="AM506">
            <v>52035489</v>
          </cell>
          <cell r="AN506">
            <v>65730750</v>
          </cell>
          <cell r="AO506">
            <v>0</v>
          </cell>
          <cell r="AP506">
            <v>779498</v>
          </cell>
          <cell r="AQ506">
            <v>26635476</v>
          </cell>
          <cell r="AR506">
            <v>13057496</v>
          </cell>
          <cell r="AS506">
            <v>14087</v>
          </cell>
          <cell r="AT506">
            <v>0</v>
          </cell>
          <cell r="AU506">
            <v>-697586</v>
          </cell>
          <cell r="AV506">
            <v>0</v>
          </cell>
          <cell r="AW506">
            <v>7113373</v>
          </cell>
          <cell r="AX506">
            <v>103904</v>
          </cell>
          <cell r="AY506">
            <v>0</v>
          </cell>
          <cell r="AZ506">
            <v>0</v>
          </cell>
        </row>
        <row r="507">
          <cell r="I507" t="str">
            <v>7920</v>
          </cell>
          <cell r="K507" t="str">
            <v>10</v>
          </cell>
          <cell r="N507" t="str">
            <v/>
          </cell>
          <cell r="O507" t="str">
            <v>F</v>
          </cell>
          <cell r="S507">
            <v>-501603</v>
          </cell>
          <cell r="Y507">
            <v>0</v>
          </cell>
          <cell r="AB507">
            <v>-56592</v>
          </cell>
          <cell r="AC507">
            <v>-2389</v>
          </cell>
          <cell r="AD507">
            <v>-105346</v>
          </cell>
          <cell r="AE507">
            <v>-157785</v>
          </cell>
          <cell r="AF507">
            <v>0</v>
          </cell>
          <cell r="AG507">
            <v>-718</v>
          </cell>
          <cell r="AH507">
            <v>-19370</v>
          </cell>
          <cell r="AI507">
            <v>-2031</v>
          </cell>
          <cell r="AJ507">
            <v>0</v>
          </cell>
          <cell r="AK507">
            <v>0</v>
          </cell>
          <cell r="AL507">
            <v>0</v>
          </cell>
          <cell r="AM507">
            <v>-100603</v>
          </cell>
          <cell r="AN507">
            <v>-127081</v>
          </cell>
          <cell r="AO507">
            <v>0</v>
          </cell>
          <cell r="AP507">
            <v>-1520</v>
          </cell>
          <cell r="AQ507">
            <v>-51494</v>
          </cell>
          <cell r="AR507">
            <v>-25265</v>
          </cell>
          <cell r="AS507">
            <v>-26</v>
          </cell>
          <cell r="AT507">
            <v>0</v>
          </cell>
          <cell r="AU507">
            <v>1361</v>
          </cell>
          <cell r="AV507">
            <v>0</v>
          </cell>
          <cell r="AW507">
            <v>-13737</v>
          </cell>
          <cell r="AX507">
            <v>-201</v>
          </cell>
          <cell r="AY507">
            <v>0</v>
          </cell>
          <cell r="AZ507">
            <v>0</v>
          </cell>
        </row>
        <row r="508">
          <cell r="I508" t="str">
            <v>7920</v>
          </cell>
          <cell r="K508" t="str">
            <v>20</v>
          </cell>
          <cell r="N508" t="str">
            <v/>
          </cell>
          <cell r="O508" t="str">
            <v>F</v>
          </cell>
          <cell r="S508">
            <v>-2619</v>
          </cell>
          <cell r="Y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</row>
        <row r="509">
          <cell r="I509" t="str">
            <v>7920</v>
          </cell>
          <cell r="K509" t="str">
            <v>20</v>
          </cell>
          <cell r="N509" t="str">
            <v/>
          </cell>
          <cell r="O509" t="str">
            <v>F</v>
          </cell>
          <cell r="S509">
            <v>1006380</v>
          </cell>
          <cell r="Y509">
            <v>0</v>
          </cell>
          <cell r="AB509">
            <v>111791</v>
          </cell>
          <cell r="AC509">
            <v>4959</v>
          </cell>
          <cell r="AD509">
            <v>209075</v>
          </cell>
          <cell r="AE509">
            <v>320424</v>
          </cell>
          <cell r="AF509">
            <v>0</v>
          </cell>
          <cell r="AG509">
            <v>1326</v>
          </cell>
          <cell r="AH509">
            <v>38905</v>
          </cell>
          <cell r="AI509">
            <v>4073</v>
          </cell>
          <cell r="AJ509">
            <v>0</v>
          </cell>
          <cell r="AK509">
            <v>0</v>
          </cell>
          <cell r="AL509">
            <v>0</v>
          </cell>
          <cell r="AM509">
            <v>188355</v>
          </cell>
          <cell r="AN509">
            <v>237508</v>
          </cell>
          <cell r="AO509">
            <v>0</v>
          </cell>
          <cell r="AP509">
            <v>2612</v>
          </cell>
          <cell r="AQ509">
            <v>94135</v>
          </cell>
          <cell r="AR509">
            <v>47743</v>
          </cell>
          <cell r="AS509">
            <v>51</v>
          </cell>
          <cell r="AT509">
            <v>0</v>
          </cell>
          <cell r="AU509">
            <v>-2106</v>
          </cell>
          <cell r="AV509">
            <v>0</v>
          </cell>
          <cell r="AW509">
            <v>26039</v>
          </cell>
          <cell r="AX509">
            <v>465</v>
          </cell>
          <cell r="AY509">
            <v>0</v>
          </cell>
          <cell r="AZ509">
            <v>0</v>
          </cell>
        </row>
        <row r="510">
          <cell r="I510" t="str">
            <v>3100</v>
          </cell>
          <cell r="K510" t="str">
            <v>30</v>
          </cell>
          <cell r="N510" t="str">
            <v>1</v>
          </cell>
          <cell r="O510" t="str">
            <v>D</v>
          </cell>
          <cell r="S510">
            <v>0</v>
          </cell>
          <cell r="Y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</row>
        <row r="511">
          <cell r="I511" t="str">
            <v>3100</v>
          </cell>
          <cell r="K511" t="str">
            <v>30</v>
          </cell>
          <cell r="N511" t="str">
            <v>1</v>
          </cell>
          <cell r="O511" t="str">
            <v>D</v>
          </cell>
          <cell r="S511">
            <v>0</v>
          </cell>
          <cell r="Y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</row>
        <row r="512">
          <cell r="I512" t="str">
            <v>3100</v>
          </cell>
          <cell r="K512" t="str">
            <v>20</v>
          </cell>
          <cell r="N512" t="str">
            <v>1</v>
          </cell>
          <cell r="O512" t="str">
            <v>D</v>
          </cell>
          <cell r="S512">
            <v>0</v>
          </cell>
          <cell r="Y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</row>
        <row r="513">
          <cell r="I513" t="str">
            <v>7920</v>
          </cell>
          <cell r="K513" t="str">
            <v>10</v>
          </cell>
          <cell r="N513" t="str">
            <v>1</v>
          </cell>
          <cell r="O513" t="str">
            <v>D</v>
          </cell>
          <cell r="S513">
            <v>0</v>
          </cell>
          <cell r="Y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</row>
        <row r="514">
          <cell r="I514" t="str">
            <v>7920</v>
          </cell>
          <cell r="K514" t="str">
            <v>10</v>
          </cell>
          <cell r="N514" t="str">
            <v>1</v>
          </cell>
          <cell r="O514" t="str">
            <v>D</v>
          </cell>
          <cell r="S514">
            <v>0</v>
          </cell>
          <cell r="Y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</row>
        <row r="515">
          <cell r="I515" t="str">
            <v>7920</v>
          </cell>
          <cell r="K515" t="str">
            <v>10</v>
          </cell>
          <cell r="N515" t="str">
            <v>1</v>
          </cell>
          <cell r="O515" t="str">
            <v>D</v>
          </cell>
          <cell r="S515">
            <v>0</v>
          </cell>
          <cell r="Y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</row>
        <row r="516">
          <cell r="I516" t="str">
            <v>7920</v>
          </cell>
          <cell r="K516" t="str">
            <v>20</v>
          </cell>
          <cell r="N516" t="str">
            <v>1</v>
          </cell>
          <cell r="O516" t="str">
            <v>D</v>
          </cell>
          <cell r="S516">
            <v>0</v>
          </cell>
          <cell r="Y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</row>
        <row r="517">
          <cell r="I517" t="str">
            <v>3100</v>
          </cell>
          <cell r="K517" t="str">
            <v>20</v>
          </cell>
          <cell r="N517" t="str">
            <v/>
          </cell>
          <cell r="O517" t="str">
            <v>F</v>
          </cell>
          <cell r="S517">
            <v>9877500</v>
          </cell>
          <cell r="Y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6313500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</row>
        <row r="518">
          <cell r="I518" t="str">
            <v>7920</v>
          </cell>
          <cell r="K518" t="str">
            <v>10</v>
          </cell>
          <cell r="N518" t="str">
            <v/>
          </cell>
          <cell r="O518" t="str">
            <v>F</v>
          </cell>
          <cell r="S518">
            <v>-7808</v>
          </cell>
          <cell r="Y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</row>
        <row r="519">
          <cell r="I519" t="str">
            <v>7920</v>
          </cell>
          <cell r="K519" t="str">
            <v>10</v>
          </cell>
          <cell r="N519" t="str">
            <v/>
          </cell>
          <cell r="O519" t="str">
            <v>F</v>
          </cell>
          <cell r="S519">
            <v>548608</v>
          </cell>
          <cell r="Y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</row>
        <row r="520">
          <cell r="I520" t="str">
            <v>7920</v>
          </cell>
          <cell r="K520" t="str">
            <v>10</v>
          </cell>
          <cell r="N520" t="str">
            <v/>
          </cell>
          <cell r="O520" t="str">
            <v>F</v>
          </cell>
          <cell r="S520">
            <v>1542960</v>
          </cell>
          <cell r="Y520">
            <v>0</v>
          </cell>
          <cell r="AB520">
            <v>280293</v>
          </cell>
          <cell r="AC520">
            <v>615438</v>
          </cell>
          <cell r="AD520">
            <v>100037</v>
          </cell>
          <cell r="AE520">
            <v>0</v>
          </cell>
          <cell r="AF520">
            <v>237482</v>
          </cell>
          <cell r="AG520">
            <v>4693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324977</v>
          </cell>
          <cell r="AN520">
            <v>405664</v>
          </cell>
          <cell r="AO520">
            <v>0</v>
          </cell>
          <cell r="AP520">
            <v>44829</v>
          </cell>
          <cell r="AQ520">
            <v>197079</v>
          </cell>
          <cell r="AR520">
            <v>119702</v>
          </cell>
          <cell r="AS520">
            <v>3183</v>
          </cell>
          <cell r="AT520">
            <v>0</v>
          </cell>
          <cell r="AU520">
            <v>-5686</v>
          </cell>
          <cell r="AV520">
            <v>0</v>
          </cell>
          <cell r="AW520">
            <v>18302</v>
          </cell>
          <cell r="AX520">
            <v>7363</v>
          </cell>
          <cell r="AY520">
            <v>0</v>
          </cell>
          <cell r="AZ520">
            <v>0</v>
          </cell>
        </row>
        <row r="521">
          <cell r="I521" t="str">
            <v>7920</v>
          </cell>
          <cell r="K521" t="str">
            <v>10</v>
          </cell>
          <cell r="N521" t="str">
            <v/>
          </cell>
          <cell r="O521" t="str">
            <v>F</v>
          </cell>
          <cell r="S521">
            <v>-30338</v>
          </cell>
          <cell r="Y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</row>
        <row r="522">
          <cell r="I522" t="str">
            <v>7920</v>
          </cell>
          <cell r="K522" t="str">
            <v>10</v>
          </cell>
          <cell r="N522" t="str">
            <v/>
          </cell>
          <cell r="O522" t="str">
            <v>F</v>
          </cell>
          <cell r="S522">
            <v>4545464</v>
          </cell>
          <cell r="Y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</row>
        <row r="523">
          <cell r="I523" t="str">
            <v>7920</v>
          </cell>
          <cell r="K523" t="str">
            <v>10</v>
          </cell>
          <cell r="N523" t="str">
            <v/>
          </cell>
          <cell r="O523" t="str">
            <v>F</v>
          </cell>
          <cell r="S523">
            <v>-2218639</v>
          </cell>
          <cell r="Y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</row>
        <row r="524">
          <cell r="I524" t="str">
            <v>7920</v>
          </cell>
          <cell r="K524" t="str">
            <v>10</v>
          </cell>
          <cell r="N524" t="str">
            <v/>
          </cell>
          <cell r="O524" t="str">
            <v>F</v>
          </cell>
          <cell r="S524">
            <v>4424003</v>
          </cell>
          <cell r="Y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</row>
        <row r="525">
          <cell r="I525" t="str">
            <v>7920</v>
          </cell>
          <cell r="K525" t="str">
            <v>10</v>
          </cell>
          <cell r="N525" t="str">
            <v/>
          </cell>
          <cell r="O525" t="str">
            <v>F</v>
          </cell>
          <cell r="S525">
            <v>336183204</v>
          </cell>
          <cell r="Y525">
            <v>0</v>
          </cell>
          <cell r="AB525">
            <v>135024010</v>
          </cell>
          <cell r="AC525">
            <v>0</v>
          </cell>
          <cell r="AD525">
            <v>24139632</v>
          </cell>
          <cell r="AE525">
            <v>0</v>
          </cell>
          <cell r="AF525">
            <v>107989061</v>
          </cell>
          <cell r="AG525">
            <v>990861</v>
          </cell>
          <cell r="AH525">
            <v>1420231</v>
          </cell>
          <cell r="AI525">
            <v>202338</v>
          </cell>
          <cell r="AJ525">
            <v>0</v>
          </cell>
          <cell r="AK525">
            <v>0</v>
          </cell>
          <cell r="AL525">
            <v>0</v>
          </cell>
          <cell r="AM525">
            <v>32244336</v>
          </cell>
          <cell r="AN525">
            <v>41717024</v>
          </cell>
          <cell r="AO525">
            <v>0</v>
          </cell>
          <cell r="AP525">
            <v>174042</v>
          </cell>
          <cell r="AQ525">
            <v>15681002</v>
          </cell>
          <cell r="AR525">
            <v>6167169</v>
          </cell>
          <cell r="AS525">
            <v>56928</v>
          </cell>
          <cell r="AT525">
            <v>0</v>
          </cell>
          <cell r="AU525">
            <v>-900333</v>
          </cell>
          <cell r="AV525">
            <v>591814</v>
          </cell>
          <cell r="AW525">
            <v>3523006</v>
          </cell>
          <cell r="AX525">
            <v>188869</v>
          </cell>
          <cell r="AY525">
            <v>0</v>
          </cell>
          <cell r="AZ525">
            <v>0</v>
          </cell>
        </row>
        <row r="526">
          <cell r="I526" t="str">
            <v>7920</v>
          </cell>
          <cell r="K526" t="str">
            <v>20</v>
          </cell>
          <cell r="N526" t="str">
            <v/>
          </cell>
          <cell r="O526" t="str">
            <v>F</v>
          </cell>
          <cell r="S526">
            <v>-4545464</v>
          </cell>
          <cell r="Y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</row>
        <row r="527">
          <cell r="I527" t="str">
            <v>7920</v>
          </cell>
          <cell r="K527" t="str">
            <v>20</v>
          </cell>
          <cell r="N527" t="str">
            <v/>
          </cell>
          <cell r="O527" t="str">
            <v>F</v>
          </cell>
          <cell r="S527">
            <v>590320</v>
          </cell>
          <cell r="Y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</row>
        <row r="528">
          <cell r="I528" t="str">
            <v>7920</v>
          </cell>
          <cell r="K528" t="str">
            <v>20</v>
          </cell>
          <cell r="N528" t="str">
            <v/>
          </cell>
          <cell r="O528" t="str">
            <v>F</v>
          </cell>
          <cell r="S528">
            <v>3955144</v>
          </cell>
          <cell r="Y528">
            <v>0</v>
          </cell>
          <cell r="AB528">
            <v>2014789</v>
          </cell>
          <cell r="AC528">
            <v>0</v>
          </cell>
          <cell r="AD528">
            <v>323465</v>
          </cell>
          <cell r="AE528">
            <v>0</v>
          </cell>
          <cell r="AF528">
            <v>1313992</v>
          </cell>
          <cell r="AG528">
            <v>12075</v>
          </cell>
          <cell r="AH528">
            <v>0</v>
          </cell>
          <cell r="AI528">
            <v>2468</v>
          </cell>
          <cell r="AJ528">
            <v>0</v>
          </cell>
          <cell r="AK528">
            <v>0</v>
          </cell>
          <cell r="AL528">
            <v>0</v>
          </cell>
          <cell r="AM528">
            <v>381086</v>
          </cell>
          <cell r="AN528">
            <v>489528</v>
          </cell>
          <cell r="AO528">
            <v>0</v>
          </cell>
          <cell r="AP528">
            <v>11441</v>
          </cell>
          <cell r="AQ528">
            <v>189865</v>
          </cell>
          <cell r="AR528">
            <v>91573</v>
          </cell>
          <cell r="AS528">
            <v>0</v>
          </cell>
          <cell r="AT528">
            <v>0</v>
          </cell>
          <cell r="AU528">
            <v>-6162</v>
          </cell>
          <cell r="AV528">
            <v>5802</v>
          </cell>
          <cell r="AW528">
            <v>40939</v>
          </cell>
          <cell r="AX528">
            <v>2046</v>
          </cell>
          <cell r="AY528">
            <v>0</v>
          </cell>
          <cell r="AZ528">
            <v>0</v>
          </cell>
        </row>
        <row r="529">
          <cell r="I529" t="str">
            <v>7920</v>
          </cell>
          <cell r="K529" t="str">
            <v>20</v>
          </cell>
          <cell r="N529" t="str">
            <v/>
          </cell>
          <cell r="O529" t="str">
            <v>F</v>
          </cell>
          <cell r="S529">
            <v>-10074011</v>
          </cell>
          <cell r="Y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</row>
        <row r="530">
          <cell r="I530" t="str">
            <v>7920</v>
          </cell>
          <cell r="K530" t="str">
            <v>20</v>
          </cell>
          <cell r="N530" t="str">
            <v/>
          </cell>
          <cell r="O530" t="str">
            <v>F</v>
          </cell>
          <cell r="S530">
            <v>872439015</v>
          </cell>
          <cell r="Y530">
            <v>0</v>
          </cell>
          <cell r="AB530">
            <v>350408421</v>
          </cell>
          <cell r="AC530">
            <v>0</v>
          </cell>
          <cell r="AD530">
            <v>62645886</v>
          </cell>
          <cell r="AE530">
            <v>0</v>
          </cell>
          <cell r="AF530">
            <v>280247389</v>
          </cell>
          <cell r="AG530">
            <v>2571423</v>
          </cell>
          <cell r="AH530">
            <v>3685705</v>
          </cell>
          <cell r="AI530">
            <v>525075</v>
          </cell>
          <cell r="AJ530">
            <v>0</v>
          </cell>
          <cell r="AK530">
            <v>0</v>
          </cell>
          <cell r="AL530">
            <v>0</v>
          </cell>
          <cell r="AM530">
            <v>83678482</v>
          </cell>
          <cell r="AN530">
            <v>108261350</v>
          </cell>
          <cell r="AO530">
            <v>0</v>
          </cell>
          <cell r="AP530">
            <v>451685</v>
          </cell>
          <cell r="AQ530">
            <v>40694451</v>
          </cell>
          <cell r="AR530">
            <v>16004716</v>
          </cell>
          <cell r="AS530">
            <v>147744</v>
          </cell>
          <cell r="AT530">
            <v>0</v>
          </cell>
          <cell r="AU530">
            <v>-2336577</v>
          </cell>
          <cell r="AV530">
            <v>1535835</v>
          </cell>
          <cell r="AW530">
            <v>9142705</v>
          </cell>
          <cell r="AX530">
            <v>490144</v>
          </cell>
          <cell r="AY530">
            <v>0</v>
          </cell>
          <cell r="AZ530">
            <v>0</v>
          </cell>
        </row>
        <row r="531">
          <cell r="I531" t="str">
            <v>7920</v>
          </cell>
          <cell r="K531" t="str">
            <v>20</v>
          </cell>
          <cell r="N531" t="str">
            <v/>
          </cell>
          <cell r="O531" t="str">
            <v>F</v>
          </cell>
          <cell r="S531">
            <v>-611020</v>
          </cell>
          <cell r="Y531">
            <v>0</v>
          </cell>
          <cell r="AB531">
            <v>-246395</v>
          </cell>
          <cell r="AC531">
            <v>0</v>
          </cell>
          <cell r="AD531">
            <v>-43873</v>
          </cell>
          <cell r="AE531">
            <v>0</v>
          </cell>
          <cell r="AF531">
            <v>-196172</v>
          </cell>
          <cell r="AG531">
            <v>-1804</v>
          </cell>
          <cell r="AH531">
            <v>-2583</v>
          </cell>
          <cell r="AI531">
            <v>-369</v>
          </cell>
          <cell r="AJ531">
            <v>0</v>
          </cell>
          <cell r="AK531">
            <v>0</v>
          </cell>
          <cell r="AL531">
            <v>0</v>
          </cell>
          <cell r="AM531">
            <v>-58343</v>
          </cell>
          <cell r="AN531">
            <v>-75455</v>
          </cell>
          <cell r="AO531">
            <v>0</v>
          </cell>
          <cell r="AP531">
            <v>-338</v>
          </cell>
          <cell r="AQ531">
            <v>-28461</v>
          </cell>
          <cell r="AR531">
            <v>-11218</v>
          </cell>
          <cell r="AS531">
            <v>-108</v>
          </cell>
          <cell r="AT531">
            <v>0</v>
          </cell>
          <cell r="AU531">
            <v>1698</v>
          </cell>
          <cell r="AV531">
            <v>-1067</v>
          </cell>
          <cell r="AW531">
            <v>-6392</v>
          </cell>
          <cell r="AX531">
            <v>-342</v>
          </cell>
          <cell r="AY531">
            <v>0</v>
          </cell>
          <cell r="AZ531">
            <v>-1</v>
          </cell>
        </row>
        <row r="532">
          <cell r="I532" t="str">
            <v>3100</v>
          </cell>
          <cell r="K532" t="str">
            <v>20</v>
          </cell>
          <cell r="N532" t="str">
            <v>1</v>
          </cell>
          <cell r="O532" t="str">
            <v>D</v>
          </cell>
          <cell r="S532">
            <v>0</v>
          </cell>
          <cell r="Y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</row>
        <row r="533">
          <cell r="I533" t="str">
            <v>3100</v>
          </cell>
          <cell r="K533" t="str">
            <v>20</v>
          </cell>
          <cell r="N533" t="str">
            <v>1</v>
          </cell>
          <cell r="O533" t="str">
            <v>D</v>
          </cell>
          <cell r="S533">
            <v>0</v>
          </cell>
          <cell r="Y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</row>
        <row r="534">
          <cell r="I534" t="str">
            <v>7900</v>
          </cell>
          <cell r="K534" t="str">
            <v>10</v>
          </cell>
          <cell r="N534" t="str">
            <v>1</v>
          </cell>
          <cell r="O534" t="str">
            <v>D</v>
          </cell>
          <cell r="S534">
            <v>0</v>
          </cell>
          <cell r="Y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</row>
        <row r="535">
          <cell r="I535" t="str">
            <v>7920</v>
          </cell>
          <cell r="K535" t="str">
            <v>10</v>
          </cell>
          <cell r="N535" t="str">
            <v>1</v>
          </cell>
          <cell r="O535" t="str">
            <v>D</v>
          </cell>
          <cell r="S535">
            <v>0</v>
          </cell>
          <cell r="Y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</row>
        <row r="536">
          <cell r="I536" t="str">
            <v>7920</v>
          </cell>
          <cell r="K536" t="str">
            <v>10</v>
          </cell>
          <cell r="N536" t="str">
            <v>1</v>
          </cell>
          <cell r="O536" t="str">
            <v>D</v>
          </cell>
          <cell r="S536">
            <v>0</v>
          </cell>
          <cell r="Y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</row>
        <row r="537">
          <cell r="I537" t="str">
            <v>7920</v>
          </cell>
          <cell r="K537" t="str">
            <v>10</v>
          </cell>
          <cell r="N537" t="str">
            <v>1</v>
          </cell>
          <cell r="O537" t="str">
            <v>D</v>
          </cell>
          <cell r="S537">
            <v>0</v>
          </cell>
          <cell r="Y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</row>
        <row r="538">
          <cell r="I538" t="str">
            <v>7920</v>
          </cell>
          <cell r="K538" t="str">
            <v>20</v>
          </cell>
          <cell r="N538" t="str">
            <v>1</v>
          </cell>
          <cell r="O538" t="str">
            <v>D</v>
          </cell>
          <cell r="S538">
            <v>0</v>
          </cell>
          <cell r="Y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</row>
        <row r="539">
          <cell r="I539" t="str">
            <v>3100</v>
          </cell>
          <cell r="K539" t="str">
            <v>20</v>
          </cell>
          <cell r="N539" t="str">
            <v/>
          </cell>
          <cell r="O539" t="str">
            <v>F</v>
          </cell>
          <cell r="S539">
            <v>2060800</v>
          </cell>
          <cell r="Y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1355200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</row>
        <row r="540">
          <cell r="I540" t="str">
            <v>3100</v>
          </cell>
          <cell r="K540" t="str">
            <v>20</v>
          </cell>
          <cell r="N540" t="str">
            <v/>
          </cell>
          <cell r="O540" t="str">
            <v>F</v>
          </cell>
          <cell r="S540">
            <v>8887500</v>
          </cell>
          <cell r="Y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5220000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</row>
        <row r="541">
          <cell r="I541" t="str">
            <v>7900</v>
          </cell>
          <cell r="K541" t="str">
            <v>10</v>
          </cell>
          <cell r="N541" t="str">
            <v/>
          </cell>
          <cell r="O541" t="str">
            <v>F</v>
          </cell>
          <cell r="S541">
            <v>-80</v>
          </cell>
          <cell r="Y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</row>
        <row r="542">
          <cell r="I542" t="str">
            <v>7900</v>
          </cell>
          <cell r="K542" t="str">
            <v>10</v>
          </cell>
          <cell r="N542" t="str">
            <v/>
          </cell>
          <cell r="O542" t="str">
            <v>F</v>
          </cell>
          <cell r="S542">
            <v>6530</v>
          </cell>
          <cell r="Y542">
            <v>0</v>
          </cell>
          <cell r="AB542">
            <v>9345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417</v>
          </cell>
          <cell r="AN542">
            <v>555</v>
          </cell>
          <cell r="AO542">
            <v>0</v>
          </cell>
          <cell r="AP542">
            <v>698</v>
          </cell>
          <cell r="AQ542">
            <v>912</v>
          </cell>
          <cell r="AR542">
            <v>1439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</row>
        <row r="543">
          <cell r="I543" t="str">
            <v>7920</v>
          </cell>
          <cell r="K543" t="str">
            <v>10</v>
          </cell>
          <cell r="N543" t="str">
            <v/>
          </cell>
          <cell r="O543" t="str">
            <v>F</v>
          </cell>
          <cell r="S543">
            <v>-87</v>
          </cell>
          <cell r="Y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</row>
        <row r="544">
          <cell r="I544" t="str">
            <v>7920</v>
          </cell>
          <cell r="K544" t="str">
            <v>10</v>
          </cell>
          <cell r="N544" t="str">
            <v/>
          </cell>
          <cell r="O544" t="str">
            <v>F</v>
          </cell>
          <cell r="S544">
            <v>7398</v>
          </cell>
          <cell r="Y544">
            <v>0</v>
          </cell>
          <cell r="AB544">
            <v>3524</v>
          </cell>
          <cell r="AC544">
            <v>0</v>
          </cell>
          <cell r="AD544">
            <v>993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166</v>
          </cell>
          <cell r="AN544">
            <v>565</v>
          </cell>
          <cell r="AO544">
            <v>178</v>
          </cell>
          <cell r="AP544">
            <v>280</v>
          </cell>
          <cell r="AQ544">
            <v>923</v>
          </cell>
          <cell r="AR544">
            <v>1711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</row>
        <row r="545">
          <cell r="I545" t="str">
            <v>7920</v>
          </cell>
          <cell r="K545" t="str">
            <v>10</v>
          </cell>
          <cell r="N545" t="str">
            <v/>
          </cell>
          <cell r="O545" t="str">
            <v>F</v>
          </cell>
          <cell r="S545">
            <v>-9734</v>
          </cell>
          <cell r="Y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</row>
        <row r="546">
          <cell r="I546" t="str">
            <v>7920</v>
          </cell>
          <cell r="K546" t="str">
            <v>10</v>
          </cell>
          <cell r="N546" t="str">
            <v/>
          </cell>
          <cell r="O546" t="str">
            <v>F</v>
          </cell>
          <cell r="S546">
            <v>2036514</v>
          </cell>
          <cell r="Y546">
            <v>0</v>
          </cell>
          <cell r="AB546">
            <v>1239340</v>
          </cell>
          <cell r="AC546">
            <v>729569</v>
          </cell>
          <cell r="AD546">
            <v>111384</v>
          </cell>
          <cell r="AE546">
            <v>0</v>
          </cell>
          <cell r="AF546">
            <v>0</v>
          </cell>
          <cell r="AG546">
            <v>4960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182253</v>
          </cell>
          <cell r="AN546">
            <v>224957</v>
          </cell>
          <cell r="AO546">
            <v>0</v>
          </cell>
          <cell r="AP546">
            <v>19375</v>
          </cell>
          <cell r="AQ546">
            <v>102146</v>
          </cell>
          <cell r="AR546">
            <v>105517</v>
          </cell>
          <cell r="AS546">
            <v>0</v>
          </cell>
          <cell r="AT546">
            <v>0</v>
          </cell>
          <cell r="AU546">
            <v>-1209</v>
          </cell>
          <cell r="AV546">
            <v>0</v>
          </cell>
          <cell r="AW546">
            <v>39561</v>
          </cell>
          <cell r="AX546">
            <v>730</v>
          </cell>
          <cell r="AY546">
            <v>0</v>
          </cell>
          <cell r="AZ546">
            <v>0</v>
          </cell>
        </row>
        <row r="547">
          <cell r="I547" t="str">
            <v>7920</v>
          </cell>
          <cell r="K547" t="str">
            <v>10</v>
          </cell>
          <cell r="N547" t="str">
            <v/>
          </cell>
          <cell r="O547" t="str">
            <v>F</v>
          </cell>
          <cell r="S547">
            <v>-1922456</v>
          </cell>
          <cell r="Y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</row>
        <row r="548">
          <cell r="I548" t="str">
            <v>7920</v>
          </cell>
          <cell r="K548" t="str">
            <v>10</v>
          </cell>
          <cell r="N548" t="str">
            <v/>
          </cell>
          <cell r="O548" t="str">
            <v>F</v>
          </cell>
          <cell r="S548">
            <v>14263832</v>
          </cell>
          <cell r="Y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</row>
        <row r="549">
          <cell r="I549" t="str">
            <v>7920</v>
          </cell>
          <cell r="K549" t="str">
            <v>10</v>
          </cell>
          <cell r="N549" t="str">
            <v/>
          </cell>
          <cell r="O549" t="str">
            <v>F</v>
          </cell>
          <cell r="S549">
            <v>309146376</v>
          </cell>
          <cell r="Y549">
            <v>0</v>
          </cell>
          <cell r="AB549">
            <v>129364594</v>
          </cell>
          <cell r="AC549">
            <v>0</v>
          </cell>
          <cell r="AD549">
            <v>14093084</v>
          </cell>
          <cell r="AE549">
            <v>0</v>
          </cell>
          <cell r="AF549">
            <v>108266801</v>
          </cell>
          <cell r="AG549">
            <v>990711</v>
          </cell>
          <cell r="AH549">
            <v>0</v>
          </cell>
          <cell r="AI549">
            <v>169028</v>
          </cell>
          <cell r="AJ549">
            <v>0</v>
          </cell>
          <cell r="AK549">
            <v>0</v>
          </cell>
          <cell r="AL549">
            <v>0</v>
          </cell>
          <cell r="AM549">
            <v>33264368</v>
          </cell>
          <cell r="AN549">
            <v>42882008</v>
          </cell>
          <cell r="AO549">
            <v>0</v>
          </cell>
          <cell r="AP549">
            <v>159666</v>
          </cell>
          <cell r="AQ549">
            <v>16059291</v>
          </cell>
          <cell r="AR549">
            <v>6119361</v>
          </cell>
          <cell r="AS549">
            <v>48510</v>
          </cell>
          <cell r="AT549">
            <v>0</v>
          </cell>
          <cell r="AU549">
            <v>-750126</v>
          </cell>
          <cell r="AV549">
            <v>2244867</v>
          </cell>
          <cell r="AW549">
            <v>3535078</v>
          </cell>
          <cell r="AX549">
            <v>181552</v>
          </cell>
          <cell r="AY549">
            <v>0</v>
          </cell>
          <cell r="AZ549">
            <v>-7</v>
          </cell>
        </row>
        <row r="550">
          <cell r="I550" t="str">
            <v>7920</v>
          </cell>
          <cell r="K550" t="str">
            <v>20</v>
          </cell>
          <cell r="N550" t="str">
            <v/>
          </cell>
          <cell r="O550" t="str">
            <v>F</v>
          </cell>
          <cell r="S550">
            <v>-19005296</v>
          </cell>
          <cell r="Y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</row>
        <row r="551">
          <cell r="I551" t="str">
            <v>7920</v>
          </cell>
          <cell r="K551" t="str">
            <v>20</v>
          </cell>
          <cell r="N551" t="str">
            <v/>
          </cell>
          <cell r="O551" t="str">
            <v>F</v>
          </cell>
          <cell r="S551">
            <v>811908680</v>
          </cell>
          <cell r="Y551">
            <v>0</v>
          </cell>
          <cell r="AB551">
            <v>339750604</v>
          </cell>
          <cell r="AC551">
            <v>0</v>
          </cell>
          <cell r="AD551">
            <v>37012935</v>
          </cell>
          <cell r="AE551">
            <v>0</v>
          </cell>
          <cell r="AF551">
            <v>284343103</v>
          </cell>
          <cell r="AG551">
            <v>2601919</v>
          </cell>
          <cell r="AH551">
            <v>0</v>
          </cell>
          <cell r="AI551">
            <v>443915</v>
          </cell>
          <cell r="AJ551">
            <v>0</v>
          </cell>
          <cell r="AK551">
            <v>0</v>
          </cell>
          <cell r="AL551">
            <v>0</v>
          </cell>
          <cell r="AM551">
            <v>87363075</v>
          </cell>
          <cell r="AN551">
            <v>112621918</v>
          </cell>
          <cell r="AO551">
            <v>0</v>
          </cell>
          <cell r="AP551">
            <v>419272</v>
          </cell>
          <cell r="AQ551">
            <v>42176554</v>
          </cell>
          <cell r="AR551">
            <v>16071278</v>
          </cell>
          <cell r="AS551">
            <v>127378</v>
          </cell>
          <cell r="AT551">
            <v>0</v>
          </cell>
          <cell r="AU551">
            <v>-1969877</v>
          </cell>
          <cell r="AV551">
            <v>5895646</v>
          </cell>
          <cell r="AW551">
            <v>9284244</v>
          </cell>
          <cell r="AX551">
            <v>476827</v>
          </cell>
          <cell r="AY551">
            <v>0</v>
          </cell>
          <cell r="AZ551">
            <v>19</v>
          </cell>
        </row>
        <row r="552">
          <cell r="I552" t="str">
            <v>3100</v>
          </cell>
          <cell r="K552" t="str">
            <v>30</v>
          </cell>
          <cell r="N552" t="str">
            <v>1</v>
          </cell>
          <cell r="O552" t="str">
            <v>D</v>
          </cell>
          <cell r="S552">
            <v>0</v>
          </cell>
          <cell r="Y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</row>
        <row r="553">
          <cell r="I553" t="str">
            <v>3100</v>
          </cell>
          <cell r="K553" t="str">
            <v>30</v>
          </cell>
          <cell r="N553" t="str">
            <v>1</v>
          </cell>
          <cell r="O553" t="str">
            <v>D</v>
          </cell>
          <cell r="S553">
            <v>0</v>
          </cell>
          <cell r="Y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</row>
        <row r="554">
          <cell r="I554" t="str">
            <v>3100</v>
          </cell>
          <cell r="K554" t="str">
            <v>30</v>
          </cell>
          <cell r="N554" t="str">
            <v>1</v>
          </cell>
          <cell r="O554" t="str">
            <v>D</v>
          </cell>
          <cell r="S554">
            <v>0</v>
          </cell>
          <cell r="Y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</row>
        <row r="555">
          <cell r="I555" t="str">
            <v>3100</v>
          </cell>
          <cell r="K555" t="str">
            <v>30</v>
          </cell>
          <cell r="N555" t="str">
            <v>1</v>
          </cell>
          <cell r="O555" t="str">
            <v>D</v>
          </cell>
          <cell r="S555">
            <v>0</v>
          </cell>
          <cell r="Y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</row>
        <row r="556">
          <cell r="I556" t="str">
            <v>3100</v>
          </cell>
          <cell r="K556" t="str">
            <v>30</v>
          </cell>
          <cell r="N556" t="str">
            <v>1</v>
          </cell>
          <cell r="O556" t="str">
            <v>D</v>
          </cell>
          <cell r="S556">
            <v>0</v>
          </cell>
          <cell r="Y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</row>
        <row r="557">
          <cell r="I557" t="str">
            <v>7900</v>
          </cell>
          <cell r="K557" t="str">
            <v>30</v>
          </cell>
          <cell r="N557" t="str">
            <v>1</v>
          </cell>
          <cell r="O557" t="str">
            <v>D</v>
          </cell>
          <cell r="S557">
            <v>0</v>
          </cell>
          <cell r="Y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</row>
        <row r="558">
          <cell r="I558" t="str">
            <v>3100</v>
          </cell>
          <cell r="K558" t="str">
            <v>30</v>
          </cell>
          <cell r="N558" t="str">
            <v>1</v>
          </cell>
          <cell r="O558" t="str">
            <v>I</v>
          </cell>
          <cell r="S558">
            <v>0</v>
          </cell>
          <cell r="Y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</row>
        <row r="559">
          <cell r="I559" t="str">
            <v>3100</v>
          </cell>
          <cell r="K559" t="str">
            <v>30</v>
          </cell>
          <cell r="N559" t="str">
            <v>1</v>
          </cell>
          <cell r="O559" t="str">
            <v>I</v>
          </cell>
          <cell r="S559">
            <v>0</v>
          </cell>
          <cell r="Y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</row>
        <row r="560">
          <cell r="I560" t="str">
            <v>3100</v>
          </cell>
          <cell r="K560" t="str">
            <v>10</v>
          </cell>
          <cell r="N560" t="str">
            <v>1</v>
          </cell>
          <cell r="O560" t="str">
            <v>D</v>
          </cell>
          <cell r="S560">
            <v>0</v>
          </cell>
          <cell r="Y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</row>
        <row r="561">
          <cell r="I561" t="str">
            <v>3100</v>
          </cell>
          <cell r="K561" t="str">
            <v>30</v>
          </cell>
          <cell r="N561" t="str">
            <v>1</v>
          </cell>
          <cell r="O561" t="str">
            <v>D</v>
          </cell>
          <cell r="S561">
            <v>0</v>
          </cell>
          <cell r="Y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</row>
        <row r="562">
          <cell r="I562" t="str">
            <v>3010</v>
          </cell>
          <cell r="K562" t="str">
            <v>90</v>
          </cell>
          <cell r="N562" t="str">
            <v/>
          </cell>
          <cell r="O562" t="str">
            <v>F</v>
          </cell>
          <cell r="S562">
            <v>31326200</v>
          </cell>
          <cell r="Y562">
            <v>0</v>
          </cell>
          <cell r="AB562">
            <v>0</v>
          </cell>
          <cell r="AC562">
            <v>42557026</v>
          </cell>
          <cell r="AD562">
            <v>0</v>
          </cell>
          <cell r="AE562">
            <v>0</v>
          </cell>
          <cell r="AF562">
            <v>0</v>
          </cell>
          <cell r="AG562">
            <v>247828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</row>
        <row r="563">
          <cell r="I563" t="str">
            <v>3014</v>
          </cell>
          <cell r="K563" t="str">
            <v>90</v>
          </cell>
          <cell r="N563" t="str">
            <v/>
          </cell>
          <cell r="O563" t="str">
            <v>F</v>
          </cell>
          <cell r="S563">
            <v>77842423</v>
          </cell>
          <cell r="Y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108377854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</row>
        <row r="564">
          <cell r="I564" t="str">
            <v>3100</v>
          </cell>
          <cell r="K564" t="str">
            <v>10</v>
          </cell>
          <cell r="N564" t="str">
            <v>1</v>
          </cell>
          <cell r="O564" t="str">
            <v>I</v>
          </cell>
          <cell r="S564">
            <v>0</v>
          </cell>
          <cell r="Y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</row>
        <row r="565">
          <cell r="I565" t="str">
            <v>3100</v>
          </cell>
          <cell r="K565" t="str">
            <v>10</v>
          </cell>
          <cell r="N565" t="str">
            <v/>
          </cell>
          <cell r="O565" t="str">
            <v>F</v>
          </cell>
          <cell r="S565">
            <v>42980886</v>
          </cell>
          <cell r="Y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23011814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</row>
        <row r="566">
          <cell r="I566" t="str">
            <v>3100</v>
          </cell>
          <cell r="K566" t="str">
            <v>10</v>
          </cell>
          <cell r="N566" t="str">
            <v/>
          </cell>
          <cell r="O566" t="str">
            <v>F</v>
          </cell>
          <cell r="S566">
            <v>50111040</v>
          </cell>
          <cell r="Y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27174664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</row>
        <row r="567">
          <cell r="I567" t="str">
            <v>3100</v>
          </cell>
          <cell r="K567" t="str">
            <v>30</v>
          </cell>
          <cell r="N567" t="str">
            <v>1</v>
          </cell>
          <cell r="O567" t="str">
            <v>I</v>
          </cell>
          <cell r="S567">
            <v>0</v>
          </cell>
          <cell r="Y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</row>
        <row r="568">
          <cell r="I568" t="str">
            <v>3100</v>
          </cell>
          <cell r="K568" t="str">
            <v>30</v>
          </cell>
          <cell r="N568" t="str">
            <v>1</v>
          </cell>
          <cell r="O568" t="str">
            <v>D</v>
          </cell>
          <cell r="S568">
            <v>0</v>
          </cell>
          <cell r="Y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</row>
        <row r="569">
          <cell r="I569" t="str">
            <v>3100</v>
          </cell>
          <cell r="K569" t="str">
            <v>10</v>
          </cell>
          <cell r="N569" t="str">
            <v>1</v>
          </cell>
          <cell r="O569" t="str">
            <v>D</v>
          </cell>
          <cell r="S569">
            <v>0</v>
          </cell>
          <cell r="Y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</row>
        <row r="570">
          <cell r="I570" t="str">
            <v>3100</v>
          </cell>
          <cell r="K570" t="str">
            <v>30</v>
          </cell>
          <cell r="N570" t="str">
            <v>1</v>
          </cell>
          <cell r="O570" t="str">
            <v>D</v>
          </cell>
          <cell r="S570">
            <v>0</v>
          </cell>
          <cell r="Y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</row>
        <row r="571">
          <cell r="I571" t="str">
            <v>3015</v>
          </cell>
          <cell r="K571" t="str">
            <v>90</v>
          </cell>
          <cell r="N571" t="str">
            <v/>
          </cell>
          <cell r="O571" t="str">
            <v>F</v>
          </cell>
          <cell r="S571">
            <v>150991230</v>
          </cell>
          <cell r="Y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108493160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</row>
        <row r="572">
          <cell r="I572" t="str">
            <v>3100</v>
          </cell>
          <cell r="K572" t="str">
            <v>10</v>
          </cell>
          <cell r="N572" t="str">
            <v/>
          </cell>
          <cell r="O572" t="str">
            <v>F</v>
          </cell>
          <cell r="S572">
            <v>115110</v>
          </cell>
          <cell r="Y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78180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</row>
        <row r="573">
          <cell r="I573" t="str">
            <v>3016</v>
          </cell>
          <cell r="K573" t="str">
            <v>90</v>
          </cell>
          <cell r="N573" t="str">
            <v/>
          </cell>
          <cell r="O573" t="str">
            <v>F</v>
          </cell>
          <cell r="S573">
            <v>12640000</v>
          </cell>
          <cell r="Y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12826527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</row>
        <row r="574">
          <cell r="I574" t="str">
            <v>3100</v>
          </cell>
          <cell r="K574" t="str">
            <v>91</v>
          </cell>
          <cell r="N574" t="str">
            <v>1</v>
          </cell>
          <cell r="O574" t="str">
            <v>D</v>
          </cell>
          <cell r="S574">
            <v>0</v>
          </cell>
          <cell r="Y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</row>
        <row r="575">
          <cell r="I575" t="str">
            <v>3100</v>
          </cell>
          <cell r="K575" t="str">
            <v>91</v>
          </cell>
          <cell r="N575" t="str">
            <v>1</v>
          </cell>
          <cell r="O575" t="str">
            <v>D</v>
          </cell>
          <cell r="S575">
            <v>0</v>
          </cell>
          <cell r="Y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</row>
        <row r="576">
          <cell r="I576" t="str">
            <v>3100</v>
          </cell>
          <cell r="K576" t="str">
            <v>91</v>
          </cell>
          <cell r="N576" t="str">
            <v>1</v>
          </cell>
          <cell r="O576" t="str">
            <v>D</v>
          </cell>
          <cell r="S576">
            <v>0</v>
          </cell>
          <cell r="Y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</row>
        <row r="577">
          <cell r="I577" t="str">
            <v>3100</v>
          </cell>
          <cell r="K577" t="str">
            <v>91</v>
          </cell>
          <cell r="N577" t="str">
            <v>1</v>
          </cell>
          <cell r="O577" t="str">
            <v>D</v>
          </cell>
          <cell r="S577">
            <v>0</v>
          </cell>
          <cell r="Y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</row>
        <row r="578">
          <cell r="I578" t="str">
            <v>3100</v>
          </cell>
          <cell r="K578" t="str">
            <v>91</v>
          </cell>
          <cell r="N578" t="str">
            <v>1</v>
          </cell>
          <cell r="O578" t="str">
            <v>D</v>
          </cell>
          <cell r="S578">
            <v>0</v>
          </cell>
          <cell r="Y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</row>
        <row r="579">
          <cell r="I579" t="str">
            <v>3100</v>
          </cell>
          <cell r="K579" t="str">
            <v>91</v>
          </cell>
          <cell r="N579" t="str">
            <v>1</v>
          </cell>
          <cell r="O579" t="str">
            <v>D</v>
          </cell>
          <cell r="S579">
            <v>0</v>
          </cell>
          <cell r="Y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</row>
        <row r="580">
          <cell r="I580" t="str">
            <v>3100</v>
          </cell>
          <cell r="K580" t="str">
            <v>91</v>
          </cell>
          <cell r="N580" t="str">
            <v>1</v>
          </cell>
          <cell r="O580" t="str">
            <v>D</v>
          </cell>
          <cell r="S580">
            <v>0</v>
          </cell>
          <cell r="Y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</row>
        <row r="581">
          <cell r="I581" t="str">
            <v>3100</v>
          </cell>
          <cell r="K581" t="str">
            <v>91</v>
          </cell>
          <cell r="N581" t="str">
            <v/>
          </cell>
          <cell r="O581" t="str">
            <v>F</v>
          </cell>
          <cell r="S581">
            <v>39923192</v>
          </cell>
          <cell r="Y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39753558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</row>
        <row r="582">
          <cell r="I582" t="str">
            <v>3100</v>
          </cell>
          <cell r="K582" t="str">
            <v>91</v>
          </cell>
          <cell r="N582" t="str">
            <v/>
          </cell>
          <cell r="O582" t="str">
            <v>F</v>
          </cell>
          <cell r="S582">
            <v>91280</v>
          </cell>
          <cell r="Y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90810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</row>
        <row r="583">
          <cell r="I583" t="str">
            <v>3100</v>
          </cell>
          <cell r="K583" t="str">
            <v>91</v>
          </cell>
          <cell r="N583" t="str">
            <v/>
          </cell>
          <cell r="O583" t="str">
            <v>F</v>
          </cell>
          <cell r="S583">
            <v>217032</v>
          </cell>
          <cell r="Y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215302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</row>
        <row r="584">
          <cell r="I584" t="str">
            <v>3100</v>
          </cell>
          <cell r="K584" t="str">
            <v>91</v>
          </cell>
          <cell r="N584" t="str">
            <v/>
          </cell>
          <cell r="O584" t="str">
            <v>F</v>
          </cell>
          <cell r="S584">
            <v>741650</v>
          </cell>
          <cell r="Y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734630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</row>
        <row r="585">
          <cell r="I585" t="str">
            <v>3100</v>
          </cell>
          <cell r="K585" t="str">
            <v>91</v>
          </cell>
          <cell r="N585" t="str">
            <v/>
          </cell>
          <cell r="O585" t="str">
            <v>F</v>
          </cell>
          <cell r="S585">
            <v>43086677</v>
          </cell>
          <cell r="Y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44013356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</row>
        <row r="586">
          <cell r="I586" t="str">
            <v>3100</v>
          </cell>
          <cell r="K586" t="str">
            <v>91</v>
          </cell>
          <cell r="N586" t="str">
            <v/>
          </cell>
          <cell r="O586" t="str">
            <v>F</v>
          </cell>
          <cell r="S586">
            <v>1596400</v>
          </cell>
          <cell r="Y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1580805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</row>
        <row r="587">
          <cell r="I587" t="str">
            <v>3100</v>
          </cell>
          <cell r="K587" t="str">
            <v>91</v>
          </cell>
          <cell r="N587" t="str">
            <v/>
          </cell>
          <cell r="O587" t="str">
            <v>F</v>
          </cell>
          <cell r="S587">
            <v>696400</v>
          </cell>
          <cell r="Y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711263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</row>
        <row r="588">
          <cell r="I588" t="str">
            <v/>
          </cell>
          <cell r="K588" t="str">
            <v>92</v>
          </cell>
          <cell r="N588" t="str">
            <v/>
          </cell>
          <cell r="O588" t="str">
            <v>F</v>
          </cell>
          <cell r="S588">
            <v>31439413</v>
          </cell>
          <cell r="Y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</row>
        <row r="589">
          <cell r="I589" t="str">
            <v>3000</v>
          </cell>
          <cell r="K589" t="str">
            <v>90</v>
          </cell>
          <cell r="N589" t="str">
            <v/>
          </cell>
          <cell r="O589" t="str">
            <v>F</v>
          </cell>
          <cell r="S589">
            <v>11716497473</v>
          </cell>
          <cell r="Y589">
            <v>0</v>
          </cell>
          <cell r="AB589">
            <v>11759809740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7834178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5725508</v>
          </cell>
          <cell r="AZ589">
            <v>0</v>
          </cell>
        </row>
        <row r="590">
          <cell r="I590" t="str">
            <v>3000</v>
          </cell>
          <cell r="K590" t="str">
            <v>91</v>
          </cell>
          <cell r="N590" t="str">
            <v/>
          </cell>
          <cell r="O590" t="str">
            <v>F</v>
          </cell>
          <cell r="S590">
            <v>43022154</v>
          </cell>
          <cell r="Y590">
            <v>0</v>
          </cell>
          <cell r="AB590">
            <v>46278921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</row>
        <row r="591">
          <cell r="I591" t="str">
            <v>3100</v>
          </cell>
          <cell r="K591" t="str">
            <v>30</v>
          </cell>
          <cell r="N591" t="str">
            <v>1</v>
          </cell>
          <cell r="O591" t="str">
            <v>D</v>
          </cell>
          <cell r="S591">
            <v>0</v>
          </cell>
          <cell r="Y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</row>
        <row r="592">
          <cell r="I592" t="str">
            <v>3100</v>
          </cell>
          <cell r="K592" t="str">
            <v>30</v>
          </cell>
          <cell r="N592" t="str">
            <v>1</v>
          </cell>
          <cell r="O592" t="str">
            <v>D</v>
          </cell>
          <cell r="S592">
            <v>0</v>
          </cell>
          <cell r="Y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</row>
        <row r="593">
          <cell r="I593" t="str">
            <v>3100</v>
          </cell>
          <cell r="K593" t="str">
            <v>30</v>
          </cell>
          <cell r="N593" t="str">
            <v>1</v>
          </cell>
          <cell r="O593" t="str">
            <v>D</v>
          </cell>
          <cell r="S593">
            <v>0</v>
          </cell>
          <cell r="Y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</row>
        <row r="594">
          <cell r="I594" t="str">
            <v>3100</v>
          </cell>
          <cell r="K594" t="str">
            <v>30</v>
          </cell>
          <cell r="N594" t="str">
            <v>1</v>
          </cell>
          <cell r="O594" t="str">
            <v>D</v>
          </cell>
          <cell r="S594">
            <v>0</v>
          </cell>
          <cell r="Y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</row>
        <row r="595">
          <cell r="I595" t="str">
            <v>3100</v>
          </cell>
          <cell r="K595" t="str">
            <v>30</v>
          </cell>
          <cell r="N595" t="str">
            <v>1</v>
          </cell>
          <cell r="O595" t="str">
            <v>D</v>
          </cell>
          <cell r="S595">
            <v>0</v>
          </cell>
          <cell r="Y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</row>
        <row r="596">
          <cell r="I596" t="str">
            <v>3100</v>
          </cell>
          <cell r="K596" t="str">
            <v>30</v>
          </cell>
          <cell r="N596" t="str">
            <v>1</v>
          </cell>
          <cell r="O596" t="str">
            <v>D</v>
          </cell>
          <cell r="S596">
            <v>0</v>
          </cell>
          <cell r="Y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</row>
        <row r="597">
          <cell r="I597" t="str">
            <v>3100</v>
          </cell>
          <cell r="K597" t="str">
            <v>91</v>
          </cell>
          <cell r="N597" t="str">
            <v>1</v>
          </cell>
          <cell r="O597" t="str">
            <v>D</v>
          </cell>
          <cell r="S597">
            <v>0</v>
          </cell>
          <cell r="Y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</row>
        <row r="598">
          <cell r="I598" t="str">
            <v>3100</v>
          </cell>
          <cell r="K598" t="str">
            <v>30</v>
          </cell>
          <cell r="N598" t="str">
            <v>1</v>
          </cell>
          <cell r="O598" t="str">
            <v>I</v>
          </cell>
          <cell r="S598">
            <v>0</v>
          </cell>
          <cell r="Y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</row>
        <row r="599">
          <cell r="I599" t="str">
            <v>3100</v>
          </cell>
          <cell r="K599" t="str">
            <v>30</v>
          </cell>
          <cell r="N599" t="str">
            <v>1</v>
          </cell>
          <cell r="O599" t="str">
            <v>I</v>
          </cell>
          <cell r="S599">
            <v>0</v>
          </cell>
          <cell r="Y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</row>
        <row r="600">
          <cell r="I600" t="str">
            <v>3100</v>
          </cell>
          <cell r="K600" t="str">
            <v>30</v>
          </cell>
          <cell r="N600" t="str">
            <v>1</v>
          </cell>
          <cell r="O600" t="str">
            <v>I</v>
          </cell>
          <cell r="S600">
            <v>0</v>
          </cell>
          <cell r="Y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</row>
        <row r="601">
          <cell r="I601" t="str">
            <v>3100</v>
          </cell>
          <cell r="K601" t="str">
            <v>91</v>
          </cell>
          <cell r="N601" t="str">
            <v/>
          </cell>
          <cell r="O601" t="str">
            <v>F</v>
          </cell>
          <cell r="S601">
            <v>44676390</v>
          </cell>
          <cell r="Y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15561068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</row>
        <row r="602">
          <cell r="I602" t="str">
            <v>7900</v>
          </cell>
          <cell r="K602" t="str">
            <v>30</v>
          </cell>
          <cell r="N602" t="str">
            <v/>
          </cell>
          <cell r="O602" t="str">
            <v>F</v>
          </cell>
          <cell r="S602">
            <v>-3912292</v>
          </cell>
          <cell r="Y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</row>
        <row r="603">
          <cell r="I603" t="str">
            <v>7900</v>
          </cell>
          <cell r="K603" t="str">
            <v>30</v>
          </cell>
          <cell r="N603" t="str">
            <v/>
          </cell>
          <cell r="O603" t="str">
            <v>F</v>
          </cell>
          <cell r="S603">
            <v>29184314</v>
          </cell>
          <cell r="Y603">
            <v>0</v>
          </cell>
          <cell r="AB603">
            <v>23274796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489768</v>
          </cell>
          <cell r="AN603">
            <v>653022</v>
          </cell>
          <cell r="AO603">
            <v>0</v>
          </cell>
          <cell r="AP603">
            <v>821718</v>
          </cell>
          <cell r="AQ603">
            <v>1072046</v>
          </cell>
          <cell r="AR603">
            <v>1692414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</row>
        <row r="604">
          <cell r="I604" t="str">
            <v>3100</v>
          </cell>
          <cell r="K604" t="str">
            <v>30</v>
          </cell>
          <cell r="N604" t="str">
            <v/>
          </cell>
          <cell r="O604" t="str">
            <v>F</v>
          </cell>
          <cell r="S604">
            <v>-14557200</v>
          </cell>
          <cell r="Y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</row>
        <row r="605">
          <cell r="I605" t="str">
            <v>3100</v>
          </cell>
          <cell r="K605" t="str">
            <v>30</v>
          </cell>
          <cell r="N605" t="str">
            <v/>
          </cell>
          <cell r="O605" t="str">
            <v>F</v>
          </cell>
          <cell r="S605">
            <v>979959</v>
          </cell>
          <cell r="Y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</row>
        <row r="606">
          <cell r="I606" t="str">
            <v>3100</v>
          </cell>
          <cell r="K606" t="str">
            <v>30</v>
          </cell>
          <cell r="N606" t="str">
            <v/>
          </cell>
          <cell r="O606" t="str">
            <v>F</v>
          </cell>
          <cell r="S606">
            <v>490527643</v>
          </cell>
          <cell r="Y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177212707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</row>
        <row r="607">
          <cell r="I607" t="str">
            <v>3100</v>
          </cell>
          <cell r="K607" t="str">
            <v>30</v>
          </cell>
          <cell r="N607" t="str">
            <v/>
          </cell>
          <cell r="O607" t="str">
            <v>F</v>
          </cell>
          <cell r="S607">
            <v>-6413892</v>
          </cell>
          <cell r="Y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</row>
        <row r="608">
          <cell r="I608" t="str">
            <v>3100</v>
          </cell>
          <cell r="K608" t="str">
            <v>30</v>
          </cell>
          <cell r="N608" t="str">
            <v/>
          </cell>
          <cell r="O608" t="str">
            <v>F</v>
          </cell>
          <cell r="S608">
            <v>168294</v>
          </cell>
          <cell r="Y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</row>
        <row r="609">
          <cell r="I609" t="str">
            <v>3100</v>
          </cell>
          <cell r="K609" t="str">
            <v>30</v>
          </cell>
          <cell r="N609" t="str">
            <v/>
          </cell>
          <cell r="O609" t="str">
            <v>F</v>
          </cell>
          <cell r="S609">
            <v>217511205</v>
          </cell>
          <cell r="Y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115198599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</row>
        <row r="610">
          <cell r="I610" t="str">
            <v>3100</v>
          </cell>
          <cell r="K610" t="str">
            <v>30</v>
          </cell>
          <cell r="N610" t="str">
            <v/>
          </cell>
          <cell r="O610" t="str">
            <v>F</v>
          </cell>
          <cell r="S610">
            <v>-5659341</v>
          </cell>
          <cell r="Y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</row>
        <row r="611">
          <cell r="I611" t="str">
            <v>3100</v>
          </cell>
          <cell r="K611" t="str">
            <v>30</v>
          </cell>
          <cell r="N611" t="str">
            <v/>
          </cell>
          <cell r="O611" t="str">
            <v>F</v>
          </cell>
          <cell r="S611">
            <v>55059949</v>
          </cell>
          <cell r="Y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24995630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</row>
        <row r="612">
          <cell r="I612" t="str">
            <v>3100</v>
          </cell>
          <cell r="K612" t="str">
            <v>30</v>
          </cell>
          <cell r="N612" t="str">
            <v/>
          </cell>
          <cell r="O612" t="str">
            <v>F</v>
          </cell>
          <cell r="S612">
            <v>-3317735</v>
          </cell>
          <cell r="Y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</row>
        <row r="613">
          <cell r="I613" t="str">
            <v>3100</v>
          </cell>
          <cell r="K613" t="str">
            <v>30</v>
          </cell>
          <cell r="N613" t="str">
            <v/>
          </cell>
          <cell r="O613" t="str">
            <v>F</v>
          </cell>
          <cell r="S613">
            <v>2366083</v>
          </cell>
          <cell r="Y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</row>
        <row r="614">
          <cell r="I614" t="str">
            <v>3100</v>
          </cell>
          <cell r="K614" t="str">
            <v>30</v>
          </cell>
          <cell r="N614" t="str">
            <v/>
          </cell>
          <cell r="O614" t="str">
            <v>F</v>
          </cell>
          <cell r="S614">
            <v>187231894</v>
          </cell>
          <cell r="Y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89337363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</row>
        <row r="615">
          <cell r="I615" t="str">
            <v>7900</v>
          </cell>
          <cell r="K615" t="str">
            <v>30</v>
          </cell>
          <cell r="N615" t="str">
            <v/>
          </cell>
          <cell r="O615" t="str">
            <v>F</v>
          </cell>
          <cell r="S615">
            <v>-3524683</v>
          </cell>
          <cell r="Y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</row>
        <row r="616">
          <cell r="I616" t="str">
            <v>7900</v>
          </cell>
          <cell r="K616" t="str">
            <v>30</v>
          </cell>
          <cell r="N616" t="str">
            <v/>
          </cell>
          <cell r="O616" t="str">
            <v>F</v>
          </cell>
          <cell r="S616">
            <v>0</v>
          </cell>
          <cell r="Y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</row>
        <row r="617">
          <cell r="I617" t="str">
            <v>7900</v>
          </cell>
          <cell r="K617" t="str">
            <v>30</v>
          </cell>
          <cell r="N617" t="str">
            <v/>
          </cell>
          <cell r="O617" t="str">
            <v>F</v>
          </cell>
          <cell r="S617">
            <v>68069459</v>
          </cell>
          <cell r="Y617">
            <v>0</v>
          </cell>
          <cell r="AB617">
            <v>34023777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2039059</v>
          </cell>
          <cell r="AN617">
            <v>3394538</v>
          </cell>
          <cell r="AO617">
            <v>0</v>
          </cell>
          <cell r="AP617">
            <v>541715</v>
          </cell>
          <cell r="AQ617">
            <v>2128152</v>
          </cell>
          <cell r="AR617">
            <v>1605162</v>
          </cell>
          <cell r="AS617">
            <v>5753</v>
          </cell>
          <cell r="AT617">
            <v>0</v>
          </cell>
          <cell r="AU617">
            <v>-233806</v>
          </cell>
          <cell r="AV617">
            <v>0</v>
          </cell>
          <cell r="AW617">
            <v>281577</v>
          </cell>
          <cell r="AX617">
            <v>18799</v>
          </cell>
          <cell r="AY617">
            <v>0</v>
          </cell>
          <cell r="AZ617">
            <v>0</v>
          </cell>
        </row>
        <row r="618">
          <cell r="I618" t="str">
            <v>3100</v>
          </cell>
          <cell r="K618" t="str">
            <v>30</v>
          </cell>
          <cell r="N618" t="str">
            <v/>
          </cell>
          <cell r="O618" t="str">
            <v>F</v>
          </cell>
          <cell r="S618">
            <v>-2528229</v>
          </cell>
          <cell r="Y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</row>
        <row r="619">
          <cell r="I619" t="str">
            <v>3100</v>
          </cell>
          <cell r="K619" t="str">
            <v>30</v>
          </cell>
          <cell r="N619" t="str">
            <v/>
          </cell>
          <cell r="O619" t="str">
            <v>F</v>
          </cell>
          <cell r="S619">
            <v>621426</v>
          </cell>
          <cell r="Y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</row>
        <row r="620">
          <cell r="I620" t="str">
            <v>3100</v>
          </cell>
          <cell r="K620" t="str">
            <v>30</v>
          </cell>
          <cell r="N620" t="str">
            <v/>
          </cell>
          <cell r="O620" t="str">
            <v>F</v>
          </cell>
          <cell r="S620">
            <v>66044738</v>
          </cell>
          <cell r="Y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28371804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</row>
        <row r="621">
          <cell r="I621" t="str">
            <v>7900</v>
          </cell>
          <cell r="K621" t="str">
            <v>30</v>
          </cell>
          <cell r="N621" t="str">
            <v/>
          </cell>
          <cell r="O621" t="str">
            <v>F</v>
          </cell>
          <cell r="S621">
            <v>-3696876</v>
          </cell>
          <cell r="Y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</row>
        <row r="622">
          <cell r="I622" t="str">
            <v>7900</v>
          </cell>
          <cell r="K622" t="str">
            <v>30</v>
          </cell>
          <cell r="N622" t="str">
            <v/>
          </cell>
          <cell r="O622" t="str">
            <v>F</v>
          </cell>
          <cell r="S622">
            <v>0</v>
          </cell>
          <cell r="Y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</row>
        <row r="623">
          <cell r="I623" t="str">
            <v>7900</v>
          </cell>
          <cell r="K623" t="str">
            <v>30</v>
          </cell>
          <cell r="N623" t="str">
            <v/>
          </cell>
          <cell r="O623" t="str">
            <v>F</v>
          </cell>
          <cell r="S623">
            <v>920568</v>
          </cell>
          <cell r="Y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</row>
        <row r="624">
          <cell r="I624" t="str">
            <v>7900</v>
          </cell>
          <cell r="K624" t="str">
            <v>30</v>
          </cell>
          <cell r="N624" t="str">
            <v/>
          </cell>
          <cell r="O624" t="str">
            <v>F</v>
          </cell>
          <cell r="S624">
            <v>3935242</v>
          </cell>
          <cell r="Y624">
            <v>0</v>
          </cell>
          <cell r="AB624">
            <v>2093509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138325</v>
          </cell>
          <cell r="AN624">
            <v>232346</v>
          </cell>
          <cell r="AO624">
            <v>0</v>
          </cell>
          <cell r="AP624">
            <v>24022</v>
          </cell>
          <cell r="AQ624">
            <v>131727</v>
          </cell>
          <cell r="AR624">
            <v>83622</v>
          </cell>
          <cell r="AS624">
            <v>1005</v>
          </cell>
          <cell r="AT624">
            <v>0</v>
          </cell>
          <cell r="AU624">
            <v>-19220</v>
          </cell>
          <cell r="AV624">
            <v>12890</v>
          </cell>
          <cell r="AW624">
            <v>19495</v>
          </cell>
          <cell r="AX624">
            <v>1697</v>
          </cell>
          <cell r="AY624">
            <v>0</v>
          </cell>
          <cell r="AZ624">
            <v>0</v>
          </cell>
        </row>
        <row r="625">
          <cell r="I625" t="str">
            <v>3100</v>
          </cell>
          <cell r="K625" t="str">
            <v>30</v>
          </cell>
          <cell r="N625" t="str">
            <v/>
          </cell>
          <cell r="O625" t="str">
            <v>F</v>
          </cell>
          <cell r="S625">
            <v>-3501642</v>
          </cell>
          <cell r="Y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</row>
        <row r="626">
          <cell r="I626" t="str">
            <v>3100</v>
          </cell>
          <cell r="K626" t="str">
            <v>30</v>
          </cell>
          <cell r="N626" t="str">
            <v/>
          </cell>
          <cell r="O626" t="str">
            <v>F</v>
          </cell>
          <cell r="S626">
            <v>3438878</v>
          </cell>
          <cell r="Y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</row>
        <row r="627">
          <cell r="I627" t="str">
            <v>3100</v>
          </cell>
          <cell r="K627" t="str">
            <v>30</v>
          </cell>
          <cell r="N627" t="str">
            <v/>
          </cell>
          <cell r="O627" t="str">
            <v>F</v>
          </cell>
          <cell r="S627">
            <v>14315233</v>
          </cell>
          <cell r="Y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6984800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</row>
        <row r="628">
          <cell r="I628" t="str">
            <v>3100</v>
          </cell>
          <cell r="K628" t="str">
            <v>30</v>
          </cell>
          <cell r="N628" t="str">
            <v/>
          </cell>
          <cell r="O628" t="str">
            <v>F</v>
          </cell>
          <cell r="S628">
            <v>-602996</v>
          </cell>
          <cell r="Y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</row>
        <row r="629">
          <cell r="I629" t="str">
            <v>3100</v>
          </cell>
          <cell r="K629" t="str">
            <v>30</v>
          </cell>
          <cell r="N629" t="str">
            <v/>
          </cell>
          <cell r="O629" t="str">
            <v>F</v>
          </cell>
          <cell r="S629">
            <v>126736</v>
          </cell>
          <cell r="Y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</row>
        <row r="630">
          <cell r="I630" t="str">
            <v>3100</v>
          </cell>
          <cell r="K630" t="str">
            <v>30</v>
          </cell>
          <cell r="N630" t="str">
            <v/>
          </cell>
          <cell r="O630" t="str">
            <v>F</v>
          </cell>
          <cell r="S630">
            <v>9561397</v>
          </cell>
          <cell r="Y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4172389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</row>
        <row r="631">
          <cell r="I631" t="str">
            <v>3100</v>
          </cell>
          <cell r="K631" t="str">
            <v>30</v>
          </cell>
          <cell r="N631" t="str">
            <v/>
          </cell>
          <cell r="O631" t="str">
            <v>F</v>
          </cell>
          <cell r="S631">
            <v>-1402065</v>
          </cell>
          <cell r="Y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</row>
        <row r="632">
          <cell r="I632" t="str">
            <v>3100</v>
          </cell>
          <cell r="K632" t="str">
            <v>30</v>
          </cell>
          <cell r="N632" t="str">
            <v/>
          </cell>
          <cell r="O632" t="str">
            <v>F</v>
          </cell>
          <cell r="S632">
            <v>24294</v>
          </cell>
          <cell r="Y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</row>
        <row r="633">
          <cell r="I633" t="str">
            <v>3100</v>
          </cell>
          <cell r="K633" t="str">
            <v>30</v>
          </cell>
          <cell r="N633" t="str">
            <v/>
          </cell>
          <cell r="O633" t="str">
            <v>F</v>
          </cell>
          <cell r="S633">
            <v>-290048</v>
          </cell>
          <cell r="Y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</row>
        <row r="634">
          <cell r="I634" t="str">
            <v>3100</v>
          </cell>
          <cell r="K634" t="str">
            <v>30</v>
          </cell>
          <cell r="N634" t="str">
            <v/>
          </cell>
          <cell r="O634" t="str">
            <v>F</v>
          </cell>
          <cell r="S634">
            <v>10218881</v>
          </cell>
          <cell r="Y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6356260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</row>
        <row r="635">
          <cell r="I635" t="str">
            <v>3100</v>
          </cell>
          <cell r="K635" t="str">
            <v>30</v>
          </cell>
          <cell r="N635" t="str">
            <v/>
          </cell>
          <cell r="O635" t="str">
            <v>F</v>
          </cell>
          <cell r="S635">
            <v>-4035798</v>
          </cell>
          <cell r="Y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</row>
        <row r="636">
          <cell r="I636" t="str">
            <v>3100</v>
          </cell>
          <cell r="K636" t="str">
            <v>30</v>
          </cell>
          <cell r="N636" t="str">
            <v/>
          </cell>
          <cell r="O636" t="str">
            <v>F</v>
          </cell>
          <cell r="S636">
            <v>2321595</v>
          </cell>
          <cell r="Y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</row>
        <row r="637">
          <cell r="I637" t="str">
            <v>3100</v>
          </cell>
          <cell r="K637" t="str">
            <v>30</v>
          </cell>
          <cell r="N637" t="str">
            <v/>
          </cell>
          <cell r="O637" t="str">
            <v>F</v>
          </cell>
          <cell r="S637">
            <v>683903542</v>
          </cell>
          <cell r="Y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325477574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</row>
        <row r="638">
          <cell r="I638" t="str">
            <v>3100</v>
          </cell>
          <cell r="K638" t="str">
            <v>30</v>
          </cell>
          <cell r="N638" t="str">
            <v/>
          </cell>
          <cell r="O638" t="str">
            <v>F</v>
          </cell>
          <cell r="S638">
            <v>0</v>
          </cell>
          <cell r="Y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</row>
        <row r="639">
          <cell r="I639" t="str">
            <v>3100</v>
          </cell>
          <cell r="K639" t="str">
            <v>30</v>
          </cell>
          <cell r="N639" t="str">
            <v/>
          </cell>
          <cell r="O639" t="str">
            <v>F</v>
          </cell>
          <cell r="S639">
            <v>4170</v>
          </cell>
          <cell r="Y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</row>
        <row r="640">
          <cell r="I640" t="str">
            <v>3100</v>
          </cell>
          <cell r="K640" t="str">
            <v>30</v>
          </cell>
          <cell r="N640" t="str">
            <v/>
          </cell>
          <cell r="O640" t="str">
            <v>F</v>
          </cell>
          <cell r="S640">
            <v>360595840</v>
          </cell>
          <cell r="Y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202343712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</row>
        <row r="641">
          <cell r="I641" t="str">
            <v>3100</v>
          </cell>
          <cell r="K641" t="str">
            <v>30</v>
          </cell>
          <cell r="N641" t="str">
            <v/>
          </cell>
          <cell r="O641" t="str">
            <v>F</v>
          </cell>
          <cell r="S641">
            <v>-1357263</v>
          </cell>
          <cell r="Y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</row>
        <row r="642">
          <cell r="I642" t="str">
            <v>3100</v>
          </cell>
          <cell r="K642" t="str">
            <v>30</v>
          </cell>
          <cell r="N642" t="str">
            <v/>
          </cell>
          <cell r="O642" t="str">
            <v>F</v>
          </cell>
          <cell r="S642">
            <v>788467</v>
          </cell>
          <cell r="Y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</row>
        <row r="643">
          <cell r="I643" t="str">
            <v>3100</v>
          </cell>
          <cell r="K643" t="str">
            <v>30</v>
          </cell>
          <cell r="N643" t="str">
            <v/>
          </cell>
          <cell r="O643" t="str">
            <v>F</v>
          </cell>
          <cell r="S643">
            <v>96664116</v>
          </cell>
          <cell r="Y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48655527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</row>
        <row r="644">
          <cell r="I644" t="str">
            <v>7900</v>
          </cell>
          <cell r="K644" t="str">
            <v>30</v>
          </cell>
          <cell r="N644" t="str">
            <v/>
          </cell>
          <cell r="O644" t="str">
            <v>F</v>
          </cell>
          <cell r="S644">
            <v>-3485630</v>
          </cell>
          <cell r="Y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</row>
        <row r="645">
          <cell r="I645" t="str">
            <v>7920</v>
          </cell>
          <cell r="K645" t="str">
            <v>30</v>
          </cell>
          <cell r="N645" t="str">
            <v/>
          </cell>
          <cell r="O645" t="str">
            <v>F</v>
          </cell>
          <cell r="S645">
            <v>-170186</v>
          </cell>
          <cell r="Y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</row>
        <row r="646">
          <cell r="I646" t="str">
            <v>7920</v>
          </cell>
          <cell r="K646" t="str">
            <v>30</v>
          </cell>
          <cell r="N646" t="str">
            <v/>
          </cell>
          <cell r="O646" t="str">
            <v>F</v>
          </cell>
          <cell r="S646">
            <v>0</v>
          </cell>
          <cell r="Y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</row>
        <row r="647">
          <cell r="I647" t="str">
            <v>7920</v>
          </cell>
          <cell r="K647" t="str">
            <v>30</v>
          </cell>
          <cell r="N647" t="str">
            <v/>
          </cell>
          <cell r="O647" t="str">
            <v>F</v>
          </cell>
          <cell r="S647">
            <v>15692851</v>
          </cell>
          <cell r="Y647">
            <v>0</v>
          </cell>
          <cell r="AB647">
            <v>23</v>
          </cell>
          <cell r="AC647">
            <v>2488447</v>
          </cell>
          <cell r="AD647">
            <v>3349634</v>
          </cell>
          <cell r="AE647">
            <v>0</v>
          </cell>
          <cell r="AF647">
            <v>0</v>
          </cell>
          <cell r="AG647">
            <v>453962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5183931</v>
          </cell>
          <cell r="AN647">
            <v>6638340</v>
          </cell>
          <cell r="AO647">
            <v>0</v>
          </cell>
          <cell r="AP647">
            <v>646532</v>
          </cell>
          <cell r="AQ647">
            <v>3677032</v>
          </cell>
          <cell r="AR647">
            <v>3254847</v>
          </cell>
          <cell r="AS647">
            <v>5</v>
          </cell>
          <cell r="AT647">
            <v>0</v>
          </cell>
          <cell r="AU647">
            <v>-77811</v>
          </cell>
          <cell r="AV647">
            <v>0</v>
          </cell>
          <cell r="AW647">
            <v>1284370</v>
          </cell>
          <cell r="AX647">
            <v>5479</v>
          </cell>
          <cell r="AY647">
            <v>0</v>
          </cell>
          <cell r="AZ647">
            <v>0</v>
          </cell>
        </row>
        <row r="648">
          <cell r="I648" t="str">
            <v>7920</v>
          </cell>
          <cell r="K648" t="str">
            <v>30</v>
          </cell>
          <cell r="N648" t="str">
            <v/>
          </cell>
          <cell r="O648" t="str">
            <v>F</v>
          </cell>
          <cell r="S648">
            <v>-72640</v>
          </cell>
          <cell r="Y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</row>
        <row r="649">
          <cell r="I649" t="str">
            <v>7920</v>
          </cell>
          <cell r="K649" t="str">
            <v>30</v>
          </cell>
          <cell r="N649" t="str">
            <v/>
          </cell>
          <cell r="O649" t="str">
            <v>F</v>
          </cell>
          <cell r="S649">
            <v>1647649</v>
          </cell>
          <cell r="Y649">
            <v>0</v>
          </cell>
          <cell r="AB649">
            <v>0</v>
          </cell>
          <cell r="AC649">
            <v>429263</v>
          </cell>
          <cell r="AD649">
            <v>225013</v>
          </cell>
          <cell r="AE649">
            <v>0</v>
          </cell>
          <cell r="AF649">
            <v>0</v>
          </cell>
          <cell r="AG649">
            <v>19582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567555</v>
          </cell>
          <cell r="AN649">
            <v>697523</v>
          </cell>
          <cell r="AO649">
            <v>0</v>
          </cell>
          <cell r="AP649">
            <v>46311</v>
          </cell>
          <cell r="AQ649">
            <v>298051</v>
          </cell>
          <cell r="AR649">
            <v>306559</v>
          </cell>
          <cell r="AS649">
            <v>0</v>
          </cell>
          <cell r="AT649">
            <v>0</v>
          </cell>
          <cell r="AU649">
            <v>-199806</v>
          </cell>
          <cell r="AV649">
            <v>0</v>
          </cell>
          <cell r="AW649">
            <v>126985</v>
          </cell>
          <cell r="AX649">
            <v>571</v>
          </cell>
          <cell r="AY649">
            <v>0</v>
          </cell>
          <cell r="AZ649">
            <v>0</v>
          </cell>
        </row>
        <row r="650">
          <cell r="I650" t="str">
            <v>3100</v>
          </cell>
          <cell r="K650" t="str">
            <v>30</v>
          </cell>
          <cell r="N650" t="str">
            <v/>
          </cell>
          <cell r="O650" t="str">
            <v>F</v>
          </cell>
          <cell r="S650">
            <v>-58053964</v>
          </cell>
          <cell r="Y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</row>
        <row r="651">
          <cell r="I651" t="str">
            <v>3100</v>
          </cell>
          <cell r="K651" t="str">
            <v>30</v>
          </cell>
          <cell r="N651" t="str">
            <v/>
          </cell>
          <cell r="O651" t="str">
            <v>F</v>
          </cell>
          <cell r="S651">
            <v>9992973</v>
          </cell>
          <cell r="Y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</row>
        <row r="652">
          <cell r="I652" t="str">
            <v>3100</v>
          </cell>
          <cell r="K652" t="str">
            <v>30</v>
          </cell>
          <cell r="N652" t="str">
            <v/>
          </cell>
          <cell r="O652" t="str">
            <v>F</v>
          </cell>
          <cell r="S652">
            <v>1351669620</v>
          </cell>
          <cell r="Y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686747125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</row>
        <row r="653">
          <cell r="I653" t="str">
            <v>7920</v>
          </cell>
          <cell r="K653" t="str">
            <v>30</v>
          </cell>
          <cell r="N653" t="str">
            <v/>
          </cell>
          <cell r="O653" t="str">
            <v>F</v>
          </cell>
          <cell r="S653">
            <v>100591</v>
          </cell>
          <cell r="Y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</row>
        <row r="654">
          <cell r="I654" t="str">
            <v>3100</v>
          </cell>
          <cell r="K654" t="str">
            <v>30</v>
          </cell>
          <cell r="N654" t="str">
            <v/>
          </cell>
          <cell r="O654" t="str">
            <v>F</v>
          </cell>
          <cell r="S654">
            <v>-152596</v>
          </cell>
          <cell r="Y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</row>
        <row r="655">
          <cell r="I655" t="str">
            <v>3100</v>
          </cell>
          <cell r="K655" t="str">
            <v>30</v>
          </cell>
          <cell r="N655" t="str">
            <v/>
          </cell>
          <cell r="O655" t="str">
            <v>F</v>
          </cell>
          <cell r="S655">
            <v>9213398</v>
          </cell>
          <cell r="Y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</row>
        <row r="656">
          <cell r="I656" t="str">
            <v>3100</v>
          </cell>
          <cell r="K656" t="str">
            <v>30</v>
          </cell>
          <cell r="N656" t="str">
            <v/>
          </cell>
          <cell r="O656" t="str">
            <v>F</v>
          </cell>
          <cell r="S656">
            <v>14157704</v>
          </cell>
          <cell r="Y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1797400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</row>
        <row r="657">
          <cell r="I657" t="str">
            <v>3100</v>
          </cell>
          <cell r="K657" t="str">
            <v>30</v>
          </cell>
          <cell r="N657" t="str">
            <v/>
          </cell>
          <cell r="O657" t="str">
            <v>F</v>
          </cell>
          <cell r="S657">
            <v>-3930295</v>
          </cell>
          <cell r="Y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</row>
        <row r="658">
          <cell r="I658" t="str">
            <v>3100</v>
          </cell>
          <cell r="K658" t="str">
            <v>30</v>
          </cell>
          <cell r="N658" t="str">
            <v/>
          </cell>
          <cell r="O658" t="str">
            <v>F</v>
          </cell>
          <cell r="S658">
            <v>2764521</v>
          </cell>
          <cell r="Y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</row>
        <row r="659">
          <cell r="I659" t="str">
            <v>3100</v>
          </cell>
          <cell r="K659" t="str">
            <v>30</v>
          </cell>
          <cell r="N659" t="str">
            <v/>
          </cell>
          <cell r="O659" t="str">
            <v>F</v>
          </cell>
          <cell r="S659">
            <v>141332434</v>
          </cell>
          <cell r="Y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70324441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</row>
        <row r="660">
          <cell r="I660" t="str">
            <v>3100</v>
          </cell>
          <cell r="K660" t="str">
            <v>30</v>
          </cell>
          <cell r="N660" t="str">
            <v/>
          </cell>
          <cell r="O660" t="str">
            <v>F</v>
          </cell>
          <cell r="S660">
            <v>-715785</v>
          </cell>
          <cell r="Y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</row>
        <row r="661">
          <cell r="I661" t="str">
            <v>3100</v>
          </cell>
          <cell r="K661" t="str">
            <v>30</v>
          </cell>
          <cell r="N661" t="str">
            <v/>
          </cell>
          <cell r="O661" t="str">
            <v>F</v>
          </cell>
          <cell r="S661">
            <v>2180086</v>
          </cell>
          <cell r="Y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</row>
        <row r="662">
          <cell r="I662" t="str">
            <v>3100</v>
          </cell>
          <cell r="K662" t="str">
            <v>30</v>
          </cell>
          <cell r="N662" t="str">
            <v/>
          </cell>
          <cell r="O662" t="str">
            <v>F</v>
          </cell>
          <cell r="S662">
            <v>98079732</v>
          </cell>
          <cell r="Y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45648061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</row>
        <row r="663">
          <cell r="I663" t="str">
            <v>3100</v>
          </cell>
          <cell r="K663" t="str">
            <v>30</v>
          </cell>
          <cell r="N663" t="str">
            <v/>
          </cell>
          <cell r="O663" t="str">
            <v>F</v>
          </cell>
          <cell r="S663">
            <v>-8710</v>
          </cell>
          <cell r="Y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</row>
        <row r="664">
          <cell r="I664" t="str">
            <v>3100</v>
          </cell>
          <cell r="K664" t="str">
            <v>30</v>
          </cell>
          <cell r="N664" t="str">
            <v/>
          </cell>
          <cell r="O664" t="str">
            <v>F</v>
          </cell>
          <cell r="S664">
            <v>0</v>
          </cell>
          <cell r="Y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</row>
        <row r="665">
          <cell r="I665" t="str">
            <v>3100</v>
          </cell>
          <cell r="K665" t="str">
            <v>30</v>
          </cell>
          <cell r="N665" t="str">
            <v/>
          </cell>
          <cell r="O665" t="str">
            <v>F</v>
          </cell>
          <cell r="S665">
            <v>1429012</v>
          </cell>
          <cell r="Y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723825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</row>
        <row r="666">
          <cell r="I666" t="str">
            <v>3100</v>
          </cell>
          <cell r="K666" t="str">
            <v>30</v>
          </cell>
          <cell r="N666" t="str">
            <v/>
          </cell>
          <cell r="O666" t="str">
            <v>F</v>
          </cell>
          <cell r="S666">
            <v>-325927</v>
          </cell>
          <cell r="Y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</row>
        <row r="667">
          <cell r="I667" t="str">
            <v>3100</v>
          </cell>
          <cell r="K667" t="str">
            <v>30</v>
          </cell>
          <cell r="N667" t="str">
            <v/>
          </cell>
          <cell r="O667" t="str">
            <v>F</v>
          </cell>
          <cell r="S667">
            <v>1764241</v>
          </cell>
          <cell r="Y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</row>
        <row r="668">
          <cell r="I668" t="str">
            <v>3100</v>
          </cell>
          <cell r="K668" t="str">
            <v>30</v>
          </cell>
          <cell r="N668" t="str">
            <v/>
          </cell>
          <cell r="O668" t="str">
            <v>F</v>
          </cell>
          <cell r="S668">
            <v>960680829</v>
          </cell>
          <cell r="Y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354363445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</row>
        <row r="669">
          <cell r="I669" t="str">
            <v>3100</v>
          </cell>
          <cell r="K669" t="str">
            <v>30</v>
          </cell>
          <cell r="N669" t="str">
            <v/>
          </cell>
          <cell r="O669" t="str">
            <v>F</v>
          </cell>
          <cell r="S669">
            <v>-28783338</v>
          </cell>
          <cell r="Y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</row>
        <row r="670">
          <cell r="I670" t="str">
            <v>3100</v>
          </cell>
          <cell r="K670" t="str">
            <v>30</v>
          </cell>
          <cell r="N670" t="str">
            <v/>
          </cell>
          <cell r="O670" t="str">
            <v>F</v>
          </cell>
          <cell r="S670">
            <v>5684518</v>
          </cell>
          <cell r="Y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</row>
        <row r="671">
          <cell r="I671" t="str">
            <v>3100</v>
          </cell>
          <cell r="K671" t="str">
            <v>30</v>
          </cell>
          <cell r="N671" t="str">
            <v/>
          </cell>
          <cell r="O671" t="str">
            <v>F</v>
          </cell>
          <cell r="S671">
            <v>1209029185</v>
          </cell>
          <cell r="Y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640800002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</row>
        <row r="672">
          <cell r="I672" t="str">
            <v>3100</v>
          </cell>
          <cell r="K672" t="str">
            <v>30</v>
          </cell>
          <cell r="N672" t="str">
            <v/>
          </cell>
          <cell r="O672" t="str">
            <v>F</v>
          </cell>
          <cell r="S672">
            <v>-9453007</v>
          </cell>
          <cell r="Y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</row>
        <row r="673">
          <cell r="I673" t="str">
            <v>3100</v>
          </cell>
          <cell r="K673" t="str">
            <v>30</v>
          </cell>
          <cell r="N673" t="str">
            <v/>
          </cell>
          <cell r="O673" t="str">
            <v>F</v>
          </cell>
          <cell r="S673">
            <v>3068319</v>
          </cell>
          <cell r="Y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</row>
        <row r="674">
          <cell r="I674" t="str">
            <v>3100</v>
          </cell>
          <cell r="K674" t="str">
            <v>30</v>
          </cell>
          <cell r="N674" t="str">
            <v/>
          </cell>
          <cell r="O674" t="str">
            <v>F</v>
          </cell>
          <cell r="S674">
            <v>229039914</v>
          </cell>
          <cell r="Y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111556378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</row>
        <row r="675">
          <cell r="I675" t="str">
            <v>3100</v>
          </cell>
          <cell r="K675" t="str">
            <v>30</v>
          </cell>
          <cell r="N675" t="str">
            <v/>
          </cell>
          <cell r="O675" t="str">
            <v>F</v>
          </cell>
          <cell r="S675">
            <v>-160423</v>
          </cell>
          <cell r="Y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</row>
        <row r="676">
          <cell r="I676" t="str">
            <v>3100</v>
          </cell>
          <cell r="K676" t="str">
            <v>30</v>
          </cell>
          <cell r="N676" t="str">
            <v/>
          </cell>
          <cell r="O676" t="str">
            <v>F</v>
          </cell>
          <cell r="S676">
            <v>0</v>
          </cell>
          <cell r="Y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</row>
        <row r="677">
          <cell r="I677" t="str">
            <v>3100</v>
          </cell>
          <cell r="K677" t="str">
            <v>30</v>
          </cell>
          <cell r="N677" t="str">
            <v/>
          </cell>
          <cell r="O677" t="str">
            <v>F</v>
          </cell>
          <cell r="S677">
            <v>11659734</v>
          </cell>
          <cell r="Y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2677711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</row>
        <row r="678">
          <cell r="I678" t="str">
            <v>3100</v>
          </cell>
          <cell r="K678" t="str">
            <v>30</v>
          </cell>
          <cell r="N678" t="str">
            <v/>
          </cell>
          <cell r="O678" t="str">
            <v>F</v>
          </cell>
          <cell r="S678">
            <v>0</v>
          </cell>
          <cell r="Y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</row>
        <row r="679">
          <cell r="I679" t="str">
            <v>3100</v>
          </cell>
          <cell r="K679" t="str">
            <v>30</v>
          </cell>
          <cell r="N679" t="str">
            <v/>
          </cell>
          <cell r="O679" t="str">
            <v>F</v>
          </cell>
          <cell r="S679">
            <v>39053</v>
          </cell>
          <cell r="Y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</row>
        <row r="680">
          <cell r="I680" t="str">
            <v>3100</v>
          </cell>
          <cell r="K680" t="str">
            <v>30</v>
          </cell>
          <cell r="N680" t="str">
            <v/>
          </cell>
          <cell r="O680" t="str">
            <v>F</v>
          </cell>
          <cell r="S680">
            <v>7607275</v>
          </cell>
          <cell r="Y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357812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</row>
        <row r="681">
          <cell r="I681" t="str">
            <v>7900</v>
          </cell>
          <cell r="K681" t="str">
            <v>30</v>
          </cell>
          <cell r="N681" t="str">
            <v/>
          </cell>
          <cell r="O681" t="str">
            <v>F</v>
          </cell>
          <cell r="S681">
            <v>-5964532</v>
          </cell>
          <cell r="Y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</row>
        <row r="682">
          <cell r="I682" t="str">
            <v>7900</v>
          </cell>
          <cell r="K682" t="str">
            <v>30</v>
          </cell>
          <cell r="N682" t="str">
            <v/>
          </cell>
          <cell r="O682" t="str">
            <v>F</v>
          </cell>
          <cell r="S682">
            <v>0</v>
          </cell>
          <cell r="Y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</row>
        <row r="683">
          <cell r="I683" t="str">
            <v>7900</v>
          </cell>
          <cell r="K683" t="str">
            <v>30</v>
          </cell>
          <cell r="N683" t="str">
            <v/>
          </cell>
          <cell r="O683" t="str">
            <v>F</v>
          </cell>
          <cell r="S683">
            <v>161773827</v>
          </cell>
          <cell r="Y683">
            <v>0</v>
          </cell>
          <cell r="AB683">
            <v>95442878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6645360</v>
          </cell>
          <cell r="AN683">
            <v>10701389</v>
          </cell>
          <cell r="AO683">
            <v>0</v>
          </cell>
          <cell r="AP683">
            <v>3635250</v>
          </cell>
          <cell r="AQ683">
            <v>8537567</v>
          </cell>
          <cell r="AR683">
            <v>8794541</v>
          </cell>
          <cell r="AS683">
            <v>31</v>
          </cell>
          <cell r="AT683">
            <v>0</v>
          </cell>
          <cell r="AU683">
            <v>-1220963</v>
          </cell>
          <cell r="AV683">
            <v>1748374</v>
          </cell>
          <cell r="AW683">
            <v>755212</v>
          </cell>
          <cell r="AX683">
            <v>34526</v>
          </cell>
          <cell r="AY683">
            <v>0</v>
          </cell>
          <cell r="AZ683">
            <v>0</v>
          </cell>
        </row>
        <row r="684">
          <cell r="I684" t="str">
            <v>7920</v>
          </cell>
          <cell r="K684" t="str">
            <v>30</v>
          </cell>
          <cell r="N684" t="str">
            <v/>
          </cell>
          <cell r="O684" t="str">
            <v>F</v>
          </cell>
          <cell r="S684">
            <v>-1395590</v>
          </cell>
          <cell r="Y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</row>
        <row r="685">
          <cell r="I685" t="str">
            <v>7920</v>
          </cell>
          <cell r="K685" t="str">
            <v>30</v>
          </cell>
          <cell r="N685" t="str">
            <v/>
          </cell>
          <cell r="O685" t="str">
            <v>F</v>
          </cell>
          <cell r="S685">
            <v>17819545</v>
          </cell>
          <cell r="Y685">
            <v>0</v>
          </cell>
          <cell r="AB685">
            <v>2298092</v>
          </cell>
          <cell r="AC685">
            <v>1269045</v>
          </cell>
          <cell r="AD685">
            <v>0</v>
          </cell>
          <cell r="AE685">
            <v>0</v>
          </cell>
          <cell r="AF685">
            <v>0</v>
          </cell>
          <cell r="AG685">
            <v>2666338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4320310</v>
          </cell>
          <cell r="AN685">
            <v>5425908</v>
          </cell>
          <cell r="AO685">
            <v>0</v>
          </cell>
          <cell r="AP685">
            <v>1327794</v>
          </cell>
          <cell r="AQ685">
            <v>3443422</v>
          </cell>
          <cell r="AR685">
            <v>4113825</v>
          </cell>
          <cell r="AS685">
            <v>2</v>
          </cell>
          <cell r="AT685">
            <v>0</v>
          </cell>
          <cell r="AU685">
            <v>-1455618</v>
          </cell>
          <cell r="AV685">
            <v>0</v>
          </cell>
          <cell r="AW685">
            <v>883407</v>
          </cell>
          <cell r="AX685">
            <v>3633</v>
          </cell>
          <cell r="AY685">
            <v>0</v>
          </cell>
          <cell r="AZ685">
            <v>0</v>
          </cell>
        </row>
        <row r="686">
          <cell r="I686" t="str">
            <v>7920</v>
          </cell>
          <cell r="K686" t="str">
            <v>30</v>
          </cell>
          <cell r="N686" t="str">
            <v/>
          </cell>
          <cell r="O686" t="str">
            <v>F</v>
          </cell>
          <cell r="S686">
            <v>-535892</v>
          </cell>
          <cell r="Y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</row>
        <row r="687">
          <cell r="I687" t="str">
            <v>7920</v>
          </cell>
          <cell r="K687" t="str">
            <v>30</v>
          </cell>
          <cell r="N687" t="str">
            <v/>
          </cell>
          <cell r="O687" t="str">
            <v>F</v>
          </cell>
          <cell r="S687">
            <v>0</v>
          </cell>
          <cell r="Y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</row>
        <row r="688">
          <cell r="I688" t="str">
            <v>7920</v>
          </cell>
          <cell r="K688" t="str">
            <v>30</v>
          </cell>
          <cell r="N688" t="str">
            <v/>
          </cell>
          <cell r="O688" t="str">
            <v>F</v>
          </cell>
          <cell r="S688">
            <v>6870841</v>
          </cell>
          <cell r="Y688">
            <v>0</v>
          </cell>
          <cell r="AB688">
            <v>8</v>
          </cell>
          <cell r="AC688">
            <v>872462</v>
          </cell>
          <cell r="AD688">
            <v>907540</v>
          </cell>
          <cell r="AE688">
            <v>0</v>
          </cell>
          <cell r="AF688">
            <v>0</v>
          </cell>
          <cell r="AG688">
            <v>508573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6562068</v>
          </cell>
          <cell r="AN688">
            <v>8349938</v>
          </cell>
          <cell r="AO688">
            <v>0</v>
          </cell>
          <cell r="AP688">
            <v>504634</v>
          </cell>
          <cell r="AQ688">
            <v>4230864</v>
          </cell>
          <cell r="AR688">
            <v>3543251</v>
          </cell>
          <cell r="AS688">
            <v>1</v>
          </cell>
          <cell r="AT688">
            <v>0</v>
          </cell>
          <cell r="AU688">
            <v>-585368</v>
          </cell>
          <cell r="AV688">
            <v>4952892</v>
          </cell>
          <cell r="AW688">
            <v>1643299</v>
          </cell>
          <cell r="AX688">
            <v>4574</v>
          </cell>
          <cell r="AY688">
            <v>0</v>
          </cell>
          <cell r="AZ688">
            <v>0</v>
          </cell>
        </row>
        <row r="689">
          <cell r="I689" t="str">
            <v>7920</v>
          </cell>
          <cell r="K689" t="str">
            <v>30</v>
          </cell>
          <cell r="N689" t="str">
            <v/>
          </cell>
          <cell r="O689" t="str">
            <v>F</v>
          </cell>
          <cell r="S689">
            <v>-207773</v>
          </cell>
          <cell r="Y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</row>
        <row r="690">
          <cell r="I690" t="str">
            <v>7920</v>
          </cell>
          <cell r="K690" t="str">
            <v>30</v>
          </cell>
          <cell r="N690" t="str">
            <v/>
          </cell>
          <cell r="O690" t="str">
            <v>F</v>
          </cell>
          <cell r="S690">
            <v>6959855</v>
          </cell>
          <cell r="Y690">
            <v>0</v>
          </cell>
          <cell r="AB690">
            <v>0</v>
          </cell>
          <cell r="AC690">
            <v>0</v>
          </cell>
          <cell r="AD690">
            <v>442740</v>
          </cell>
          <cell r="AE690">
            <v>0</v>
          </cell>
          <cell r="AF690">
            <v>0</v>
          </cell>
          <cell r="AG690">
            <v>655255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1625831</v>
          </cell>
          <cell r="AO690">
            <v>1404535</v>
          </cell>
          <cell r="AP690">
            <v>0</v>
          </cell>
          <cell r="AQ690">
            <v>1494804</v>
          </cell>
          <cell r="AR690">
            <v>2379335</v>
          </cell>
          <cell r="AS690">
            <v>0</v>
          </cell>
          <cell r="AT690">
            <v>0</v>
          </cell>
          <cell r="AU690">
            <v>0</v>
          </cell>
          <cell r="AV690">
            <v>36284</v>
          </cell>
          <cell r="AW690">
            <v>172533</v>
          </cell>
          <cell r="AX690">
            <v>438</v>
          </cell>
          <cell r="AY690">
            <v>0</v>
          </cell>
          <cell r="AZ690">
            <v>0</v>
          </cell>
        </row>
        <row r="691">
          <cell r="I691" t="str">
            <v>3100</v>
          </cell>
          <cell r="K691" t="str">
            <v>30</v>
          </cell>
          <cell r="N691" t="str">
            <v/>
          </cell>
          <cell r="O691" t="str">
            <v>F</v>
          </cell>
          <cell r="S691">
            <v>-902408</v>
          </cell>
          <cell r="Y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</row>
        <row r="692">
          <cell r="I692" t="str">
            <v>3100</v>
          </cell>
          <cell r="K692" t="str">
            <v>30</v>
          </cell>
          <cell r="N692" t="str">
            <v/>
          </cell>
          <cell r="O692" t="str">
            <v>F</v>
          </cell>
          <cell r="S692">
            <v>3481645</v>
          </cell>
          <cell r="Y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</row>
        <row r="693">
          <cell r="I693" t="str">
            <v>3100</v>
          </cell>
          <cell r="K693" t="str">
            <v>30</v>
          </cell>
          <cell r="N693" t="str">
            <v/>
          </cell>
          <cell r="O693" t="str">
            <v>F</v>
          </cell>
          <cell r="S693">
            <v>83574477</v>
          </cell>
          <cell r="Y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38595085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</row>
        <row r="694">
          <cell r="I694" t="str">
            <v>3100</v>
          </cell>
          <cell r="K694" t="str">
            <v>30</v>
          </cell>
          <cell r="N694" t="str">
            <v/>
          </cell>
          <cell r="O694" t="str">
            <v>F</v>
          </cell>
          <cell r="S694">
            <v>-53398</v>
          </cell>
          <cell r="Y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</row>
        <row r="695">
          <cell r="I695" t="str">
            <v>3100</v>
          </cell>
          <cell r="K695" t="str">
            <v>30</v>
          </cell>
          <cell r="N695" t="str">
            <v/>
          </cell>
          <cell r="O695" t="str">
            <v>F</v>
          </cell>
          <cell r="S695">
            <v>11514</v>
          </cell>
          <cell r="Y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</row>
        <row r="696">
          <cell r="I696" t="str">
            <v>3100</v>
          </cell>
          <cell r="K696" t="str">
            <v>30</v>
          </cell>
          <cell r="N696" t="str">
            <v/>
          </cell>
          <cell r="O696" t="str">
            <v>F</v>
          </cell>
          <cell r="S696">
            <v>3232359</v>
          </cell>
          <cell r="Y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1685333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</row>
        <row r="697">
          <cell r="I697" t="str">
            <v>3100</v>
          </cell>
          <cell r="K697" t="str">
            <v>30</v>
          </cell>
          <cell r="N697" t="str">
            <v/>
          </cell>
          <cell r="O697" t="str">
            <v>F</v>
          </cell>
          <cell r="S697">
            <v>-3695110</v>
          </cell>
          <cell r="Y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</row>
        <row r="698">
          <cell r="I698" t="str">
            <v>3100</v>
          </cell>
          <cell r="K698" t="str">
            <v>30</v>
          </cell>
          <cell r="N698" t="str">
            <v/>
          </cell>
          <cell r="O698" t="str">
            <v>F</v>
          </cell>
          <cell r="S698">
            <v>3627210</v>
          </cell>
          <cell r="Y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</row>
        <row r="699">
          <cell r="I699" t="str">
            <v>3100</v>
          </cell>
          <cell r="K699" t="str">
            <v>30</v>
          </cell>
          <cell r="N699" t="str">
            <v/>
          </cell>
          <cell r="O699" t="str">
            <v>F</v>
          </cell>
          <cell r="S699">
            <v>155589142</v>
          </cell>
          <cell r="Y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84769287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</row>
        <row r="700">
          <cell r="I700" t="str">
            <v>3100</v>
          </cell>
          <cell r="K700" t="str">
            <v>30</v>
          </cell>
          <cell r="N700" t="str">
            <v/>
          </cell>
          <cell r="O700" t="str">
            <v>F</v>
          </cell>
          <cell r="S700">
            <v>-2999751</v>
          </cell>
          <cell r="Y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</row>
        <row r="701">
          <cell r="I701" t="str">
            <v>3100</v>
          </cell>
          <cell r="K701" t="str">
            <v>30</v>
          </cell>
          <cell r="N701" t="str">
            <v/>
          </cell>
          <cell r="O701" t="str">
            <v>F</v>
          </cell>
          <cell r="S701">
            <v>8566014</v>
          </cell>
          <cell r="Y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</row>
        <row r="702">
          <cell r="I702" t="str">
            <v>3100</v>
          </cell>
          <cell r="K702" t="str">
            <v>30</v>
          </cell>
          <cell r="N702" t="str">
            <v/>
          </cell>
          <cell r="O702" t="str">
            <v>F</v>
          </cell>
          <cell r="S702">
            <v>786645972</v>
          </cell>
          <cell r="Y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281135277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</row>
        <row r="703">
          <cell r="I703" t="str">
            <v>3100</v>
          </cell>
          <cell r="K703" t="str">
            <v>30</v>
          </cell>
          <cell r="N703" t="str">
            <v/>
          </cell>
          <cell r="O703" t="str">
            <v>F</v>
          </cell>
          <cell r="S703">
            <v>-13450849</v>
          </cell>
          <cell r="Y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</row>
        <row r="704">
          <cell r="I704" t="str">
            <v>3100</v>
          </cell>
          <cell r="K704" t="str">
            <v>30</v>
          </cell>
          <cell r="N704" t="str">
            <v/>
          </cell>
          <cell r="O704" t="str">
            <v>F</v>
          </cell>
          <cell r="S704">
            <v>0</v>
          </cell>
          <cell r="Y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</row>
        <row r="705">
          <cell r="I705" t="str">
            <v>3100</v>
          </cell>
          <cell r="K705" t="str">
            <v>30</v>
          </cell>
          <cell r="N705" t="str">
            <v/>
          </cell>
          <cell r="O705" t="str">
            <v>F</v>
          </cell>
          <cell r="S705">
            <v>327105623</v>
          </cell>
          <cell r="Y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156626320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</row>
        <row r="706">
          <cell r="I706" t="str">
            <v>3100</v>
          </cell>
          <cell r="K706" t="str">
            <v>30</v>
          </cell>
          <cell r="N706" t="str">
            <v/>
          </cell>
          <cell r="O706" t="str">
            <v>F</v>
          </cell>
          <cell r="S706">
            <v>0</v>
          </cell>
          <cell r="Y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</row>
        <row r="707">
          <cell r="I707" t="str">
            <v>3100</v>
          </cell>
          <cell r="K707" t="str">
            <v>30</v>
          </cell>
          <cell r="N707" t="str">
            <v/>
          </cell>
          <cell r="O707" t="str">
            <v>F</v>
          </cell>
          <cell r="S707">
            <v>4221326</v>
          </cell>
          <cell r="Y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</row>
        <row r="708">
          <cell r="I708" t="str">
            <v>3100</v>
          </cell>
          <cell r="K708" t="str">
            <v>30</v>
          </cell>
          <cell r="N708" t="str">
            <v/>
          </cell>
          <cell r="O708" t="str">
            <v>F</v>
          </cell>
          <cell r="S708">
            <v>11436456</v>
          </cell>
          <cell r="Y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6277124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</row>
        <row r="709">
          <cell r="I709" t="str">
            <v>3100</v>
          </cell>
          <cell r="K709" t="str">
            <v>30</v>
          </cell>
          <cell r="N709" t="str">
            <v/>
          </cell>
          <cell r="O709" t="str">
            <v>F</v>
          </cell>
          <cell r="S709">
            <v>-4343436</v>
          </cell>
          <cell r="Y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</row>
        <row r="710">
          <cell r="I710" t="str">
            <v>3100</v>
          </cell>
          <cell r="K710" t="str">
            <v>30</v>
          </cell>
          <cell r="N710" t="str">
            <v/>
          </cell>
          <cell r="O710" t="str">
            <v>F</v>
          </cell>
          <cell r="S710">
            <v>-53854</v>
          </cell>
          <cell r="Y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</row>
        <row r="711">
          <cell r="I711" t="str">
            <v>3100</v>
          </cell>
          <cell r="K711" t="str">
            <v>30</v>
          </cell>
          <cell r="N711" t="str">
            <v/>
          </cell>
          <cell r="O711" t="str">
            <v>F</v>
          </cell>
          <cell r="S711">
            <v>7833806</v>
          </cell>
          <cell r="Y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</row>
        <row r="712">
          <cell r="I712" t="str">
            <v>3100</v>
          </cell>
          <cell r="K712" t="str">
            <v>30</v>
          </cell>
          <cell r="N712" t="str">
            <v/>
          </cell>
          <cell r="O712" t="str">
            <v>F</v>
          </cell>
          <cell r="S712">
            <v>244337029</v>
          </cell>
          <cell r="Y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68757986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</row>
        <row r="713">
          <cell r="I713" t="str">
            <v>3100</v>
          </cell>
          <cell r="K713" t="str">
            <v>30</v>
          </cell>
          <cell r="N713" t="str">
            <v/>
          </cell>
          <cell r="O713" t="str">
            <v>F</v>
          </cell>
          <cell r="S713">
            <v>-1695627</v>
          </cell>
          <cell r="Y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</row>
        <row r="714">
          <cell r="I714" t="str">
            <v>3100</v>
          </cell>
          <cell r="K714" t="str">
            <v>30</v>
          </cell>
          <cell r="N714" t="str">
            <v/>
          </cell>
          <cell r="O714" t="str">
            <v>F</v>
          </cell>
          <cell r="S714">
            <v>9094177</v>
          </cell>
          <cell r="Y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</row>
        <row r="715">
          <cell r="I715" t="str">
            <v>3100</v>
          </cell>
          <cell r="K715" t="str">
            <v>30</v>
          </cell>
          <cell r="N715" t="str">
            <v/>
          </cell>
          <cell r="O715" t="str">
            <v>F</v>
          </cell>
          <cell r="S715">
            <v>401681902</v>
          </cell>
          <cell r="Y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176770599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</row>
        <row r="716">
          <cell r="I716" t="str">
            <v>3100</v>
          </cell>
          <cell r="K716" t="str">
            <v>30</v>
          </cell>
          <cell r="N716" t="str">
            <v/>
          </cell>
          <cell r="O716" t="str">
            <v>F</v>
          </cell>
          <cell r="S716">
            <v>-1656135</v>
          </cell>
          <cell r="Y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</row>
        <row r="717">
          <cell r="I717" t="str">
            <v>3100</v>
          </cell>
          <cell r="K717" t="str">
            <v>30</v>
          </cell>
          <cell r="N717" t="str">
            <v/>
          </cell>
          <cell r="O717" t="str">
            <v>F</v>
          </cell>
          <cell r="S717">
            <v>2832781</v>
          </cell>
          <cell r="Y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</row>
        <row r="718">
          <cell r="I718" t="str">
            <v>3100</v>
          </cell>
          <cell r="K718" t="str">
            <v>30</v>
          </cell>
          <cell r="N718" t="str">
            <v/>
          </cell>
          <cell r="O718" t="str">
            <v>F</v>
          </cell>
          <cell r="S718">
            <v>34816709</v>
          </cell>
          <cell r="Y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13612625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</row>
        <row r="719">
          <cell r="I719" t="str">
            <v>3100</v>
          </cell>
          <cell r="K719" t="str">
            <v>30</v>
          </cell>
          <cell r="N719" t="str">
            <v/>
          </cell>
          <cell r="O719" t="str">
            <v>F</v>
          </cell>
          <cell r="S719">
            <v>-221834</v>
          </cell>
          <cell r="Y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</row>
        <row r="720">
          <cell r="I720" t="str">
            <v>3100</v>
          </cell>
          <cell r="K720" t="str">
            <v>30</v>
          </cell>
          <cell r="N720" t="str">
            <v/>
          </cell>
          <cell r="O720" t="str">
            <v>F</v>
          </cell>
          <cell r="S720">
            <v>317971</v>
          </cell>
          <cell r="Y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</row>
        <row r="721">
          <cell r="I721" t="str">
            <v>3100</v>
          </cell>
          <cell r="K721" t="str">
            <v>30</v>
          </cell>
          <cell r="N721" t="str">
            <v/>
          </cell>
          <cell r="O721" t="str">
            <v>F</v>
          </cell>
          <cell r="S721">
            <v>15775434</v>
          </cell>
          <cell r="Y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5706002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</row>
        <row r="722">
          <cell r="I722" t="str">
            <v>7920</v>
          </cell>
          <cell r="K722" t="str">
            <v>30</v>
          </cell>
          <cell r="N722" t="str">
            <v/>
          </cell>
          <cell r="O722" t="str">
            <v>F</v>
          </cell>
          <cell r="S722">
            <v>-357494</v>
          </cell>
          <cell r="Y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</row>
        <row r="723">
          <cell r="I723" t="str">
            <v>7920</v>
          </cell>
          <cell r="K723" t="str">
            <v>30</v>
          </cell>
          <cell r="N723" t="str">
            <v/>
          </cell>
          <cell r="O723" t="str">
            <v>F</v>
          </cell>
          <cell r="S723">
            <v>0</v>
          </cell>
          <cell r="Y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</row>
        <row r="724">
          <cell r="I724" t="str">
            <v>7920</v>
          </cell>
          <cell r="K724" t="str">
            <v>30</v>
          </cell>
          <cell r="N724" t="str">
            <v/>
          </cell>
          <cell r="O724" t="str">
            <v>F</v>
          </cell>
          <cell r="S724">
            <v>27807978</v>
          </cell>
          <cell r="Y724">
            <v>0</v>
          </cell>
          <cell r="AB724">
            <v>17</v>
          </cell>
          <cell r="AC724">
            <v>0</v>
          </cell>
          <cell r="AD724">
            <v>3540259</v>
          </cell>
          <cell r="AE724">
            <v>0</v>
          </cell>
          <cell r="AF724">
            <v>0</v>
          </cell>
          <cell r="AG724">
            <v>1656531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7656227</v>
          </cell>
          <cell r="AN724">
            <v>9830925</v>
          </cell>
          <cell r="AO724">
            <v>0</v>
          </cell>
          <cell r="AP724">
            <v>1380872</v>
          </cell>
          <cell r="AQ724">
            <v>5890404</v>
          </cell>
          <cell r="AR724">
            <v>5600779</v>
          </cell>
          <cell r="AS724">
            <v>4</v>
          </cell>
          <cell r="AT724">
            <v>0</v>
          </cell>
          <cell r="AU724">
            <v>-57803</v>
          </cell>
          <cell r="AV724">
            <v>5596666</v>
          </cell>
          <cell r="AW724">
            <v>1843484</v>
          </cell>
          <cell r="AX724">
            <v>4677</v>
          </cell>
          <cell r="AY724">
            <v>0</v>
          </cell>
          <cell r="AZ724">
            <v>0</v>
          </cell>
        </row>
        <row r="725">
          <cell r="I725" t="str">
            <v>7920</v>
          </cell>
          <cell r="K725" t="str">
            <v>30</v>
          </cell>
          <cell r="N725" t="str">
            <v/>
          </cell>
          <cell r="O725" t="str">
            <v>F</v>
          </cell>
          <cell r="S725">
            <v>113855</v>
          </cell>
          <cell r="Y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</row>
        <row r="726">
          <cell r="I726" t="str">
            <v>3100</v>
          </cell>
          <cell r="K726" t="str">
            <v>30</v>
          </cell>
          <cell r="N726" t="str">
            <v/>
          </cell>
          <cell r="O726" t="str">
            <v>F</v>
          </cell>
          <cell r="S726">
            <v>-7582908</v>
          </cell>
          <cell r="Y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</row>
        <row r="727">
          <cell r="I727" t="str">
            <v>3100</v>
          </cell>
          <cell r="K727" t="str">
            <v>30</v>
          </cell>
          <cell r="N727" t="str">
            <v/>
          </cell>
          <cell r="O727" t="str">
            <v>F</v>
          </cell>
          <cell r="S727">
            <v>1668274</v>
          </cell>
          <cell r="Y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</row>
        <row r="728">
          <cell r="I728" t="str">
            <v>3100</v>
          </cell>
          <cell r="K728" t="str">
            <v>30</v>
          </cell>
          <cell r="N728" t="str">
            <v/>
          </cell>
          <cell r="O728" t="str">
            <v>F</v>
          </cell>
          <cell r="S728">
            <v>7254060</v>
          </cell>
          <cell r="Y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5552168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</row>
        <row r="729">
          <cell r="I729" t="str">
            <v>3100</v>
          </cell>
          <cell r="K729" t="str">
            <v>30</v>
          </cell>
          <cell r="N729" t="str">
            <v/>
          </cell>
          <cell r="O729" t="str">
            <v>F</v>
          </cell>
          <cell r="S729">
            <v>-6796221</v>
          </cell>
          <cell r="Y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</row>
        <row r="730">
          <cell r="I730" t="str">
            <v>3100</v>
          </cell>
          <cell r="K730" t="str">
            <v>30</v>
          </cell>
          <cell r="N730" t="str">
            <v/>
          </cell>
          <cell r="O730" t="str">
            <v>F</v>
          </cell>
          <cell r="S730">
            <v>268444</v>
          </cell>
          <cell r="Y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</row>
        <row r="731">
          <cell r="I731" t="str">
            <v>3100</v>
          </cell>
          <cell r="K731" t="str">
            <v>30</v>
          </cell>
          <cell r="N731" t="str">
            <v/>
          </cell>
          <cell r="O731" t="str">
            <v>F</v>
          </cell>
          <cell r="S731">
            <v>359514</v>
          </cell>
          <cell r="Y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270000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</row>
        <row r="732">
          <cell r="I732" t="str">
            <v>3100</v>
          </cell>
          <cell r="K732" t="str">
            <v>30</v>
          </cell>
          <cell r="N732" t="str">
            <v/>
          </cell>
          <cell r="O732" t="str">
            <v>F</v>
          </cell>
          <cell r="S732">
            <v>5295741</v>
          </cell>
          <cell r="Y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</row>
        <row r="733">
          <cell r="I733" t="str">
            <v>3100</v>
          </cell>
          <cell r="K733" t="str">
            <v>30</v>
          </cell>
          <cell r="N733" t="str">
            <v/>
          </cell>
          <cell r="O733" t="str">
            <v>F</v>
          </cell>
          <cell r="S733">
            <v>17237</v>
          </cell>
          <cell r="Y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1517460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</row>
        <row r="734">
          <cell r="I734" t="str">
            <v>3100</v>
          </cell>
          <cell r="K734" t="str">
            <v>30</v>
          </cell>
          <cell r="N734" t="str">
            <v/>
          </cell>
          <cell r="O734" t="str">
            <v>F</v>
          </cell>
          <cell r="S734">
            <v>-224054</v>
          </cell>
          <cell r="Y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</row>
        <row r="735">
          <cell r="I735" t="str">
            <v>3100</v>
          </cell>
          <cell r="K735" t="str">
            <v>30</v>
          </cell>
          <cell r="N735" t="str">
            <v/>
          </cell>
          <cell r="O735" t="str">
            <v>F</v>
          </cell>
          <cell r="S735">
            <v>3819627</v>
          </cell>
          <cell r="Y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</row>
        <row r="736">
          <cell r="I736" t="str">
            <v>3100</v>
          </cell>
          <cell r="K736" t="str">
            <v>30</v>
          </cell>
          <cell r="N736" t="str">
            <v/>
          </cell>
          <cell r="O736" t="str">
            <v>F</v>
          </cell>
          <cell r="S736">
            <v>4718508</v>
          </cell>
          <cell r="Y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2045000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</row>
        <row r="737">
          <cell r="I737" t="str">
            <v>7920</v>
          </cell>
          <cell r="K737" t="str">
            <v>30</v>
          </cell>
          <cell r="N737" t="str">
            <v/>
          </cell>
          <cell r="O737" t="str">
            <v>F</v>
          </cell>
          <cell r="S737">
            <v>0</v>
          </cell>
          <cell r="Y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</row>
        <row r="738">
          <cell r="I738" t="str">
            <v>7920</v>
          </cell>
          <cell r="K738" t="str">
            <v>30</v>
          </cell>
          <cell r="N738" t="str">
            <v/>
          </cell>
          <cell r="O738" t="str">
            <v>F</v>
          </cell>
          <cell r="S738">
            <v>116830</v>
          </cell>
          <cell r="Y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</row>
        <row r="739">
          <cell r="I739" t="str">
            <v>7920</v>
          </cell>
          <cell r="K739" t="str">
            <v>30</v>
          </cell>
          <cell r="N739" t="str">
            <v/>
          </cell>
          <cell r="O739" t="str">
            <v>F</v>
          </cell>
          <cell r="S739">
            <v>600420</v>
          </cell>
          <cell r="Y739">
            <v>0</v>
          </cell>
          <cell r="AB739">
            <v>0</v>
          </cell>
          <cell r="AC739">
            <v>344662</v>
          </cell>
          <cell r="AD739">
            <v>0</v>
          </cell>
          <cell r="AE739">
            <v>0</v>
          </cell>
          <cell r="AF739">
            <v>0</v>
          </cell>
          <cell r="AG739">
            <v>16570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74280</v>
          </cell>
          <cell r="AN739">
            <v>95835</v>
          </cell>
          <cell r="AO739">
            <v>0</v>
          </cell>
          <cell r="AP739">
            <v>127004</v>
          </cell>
          <cell r="AQ739">
            <v>156188</v>
          </cell>
          <cell r="AR739">
            <v>259979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</row>
        <row r="740">
          <cell r="I740" t="str">
            <v>3100</v>
          </cell>
          <cell r="K740" t="str">
            <v>30</v>
          </cell>
          <cell r="N740" t="str">
            <v/>
          </cell>
          <cell r="O740" t="str">
            <v>F</v>
          </cell>
          <cell r="S740">
            <v>1214801</v>
          </cell>
          <cell r="Y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</row>
        <row r="741">
          <cell r="I741" t="str">
            <v>3100</v>
          </cell>
          <cell r="K741" t="str">
            <v>30</v>
          </cell>
          <cell r="N741" t="str">
            <v/>
          </cell>
          <cell r="O741" t="str">
            <v>F</v>
          </cell>
          <cell r="S741">
            <v>5500</v>
          </cell>
          <cell r="Y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387930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</row>
        <row r="742">
          <cell r="I742" t="str">
            <v>3100</v>
          </cell>
          <cell r="K742" t="str">
            <v>30</v>
          </cell>
          <cell r="N742" t="str">
            <v/>
          </cell>
          <cell r="O742" t="str">
            <v>F</v>
          </cell>
          <cell r="S742">
            <v>-3228444</v>
          </cell>
          <cell r="Y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</row>
        <row r="743">
          <cell r="I743" t="str">
            <v>3100</v>
          </cell>
          <cell r="K743" t="str">
            <v>30</v>
          </cell>
          <cell r="N743" t="str">
            <v/>
          </cell>
          <cell r="O743" t="str">
            <v>F</v>
          </cell>
          <cell r="S743">
            <v>0</v>
          </cell>
          <cell r="Y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</row>
        <row r="744">
          <cell r="I744" t="str">
            <v>3100</v>
          </cell>
          <cell r="K744" t="str">
            <v>30</v>
          </cell>
          <cell r="N744" t="str">
            <v/>
          </cell>
          <cell r="O744" t="str">
            <v>F</v>
          </cell>
          <cell r="S744">
            <v>752238</v>
          </cell>
          <cell r="Y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371701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</row>
        <row r="745">
          <cell r="I745" t="str">
            <v>3100</v>
          </cell>
          <cell r="K745" t="str">
            <v>30</v>
          </cell>
          <cell r="N745" t="str">
            <v/>
          </cell>
          <cell r="O745" t="str">
            <v>F</v>
          </cell>
          <cell r="S745">
            <v>-68356798</v>
          </cell>
          <cell r="Y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</row>
        <row r="746">
          <cell r="I746" t="str">
            <v>3100</v>
          </cell>
          <cell r="K746" t="str">
            <v>30</v>
          </cell>
          <cell r="N746" t="str">
            <v/>
          </cell>
          <cell r="O746" t="str">
            <v>F</v>
          </cell>
          <cell r="S746">
            <v>3945295</v>
          </cell>
          <cell r="Y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</row>
        <row r="747">
          <cell r="I747" t="str">
            <v>3100</v>
          </cell>
          <cell r="K747" t="str">
            <v>30</v>
          </cell>
          <cell r="N747" t="str">
            <v/>
          </cell>
          <cell r="O747" t="str">
            <v>F</v>
          </cell>
          <cell r="S747">
            <v>2606892385</v>
          </cell>
          <cell r="Y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1255103455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</row>
        <row r="748">
          <cell r="I748" t="str">
            <v>3100</v>
          </cell>
          <cell r="K748" t="str">
            <v>30</v>
          </cell>
          <cell r="N748" t="str">
            <v/>
          </cell>
          <cell r="O748" t="str">
            <v>F</v>
          </cell>
          <cell r="S748">
            <v>-3003593</v>
          </cell>
          <cell r="Y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</row>
        <row r="749">
          <cell r="I749" t="str">
            <v>3100</v>
          </cell>
          <cell r="K749" t="str">
            <v>30</v>
          </cell>
          <cell r="N749" t="str">
            <v/>
          </cell>
          <cell r="O749" t="str">
            <v>F</v>
          </cell>
          <cell r="S749">
            <v>0</v>
          </cell>
          <cell r="Y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</row>
        <row r="750">
          <cell r="I750" t="str">
            <v>3100</v>
          </cell>
          <cell r="K750" t="str">
            <v>30</v>
          </cell>
          <cell r="N750" t="str">
            <v/>
          </cell>
          <cell r="O750" t="str">
            <v>F</v>
          </cell>
          <cell r="S750">
            <v>244404143</v>
          </cell>
          <cell r="Y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116538343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</row>
        <row r="751">
          <cell r="I751" t="str">
            <v>3100</v>
          </cell>
          <cell r="K751" t="str">
            <v>30</v>
          </cell>
          <cell r="N751" t="str">
            <v/>
          </cell>
          <cell r="O751" t="str">
            <v>F</v>
          </cell>
          <cell r="S751">
            <v>-94093861</v>
          </cell>
          <cell r="Y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</row>
        <row r="752">
          <cell r="I752" t="str">
            <v>3100</v>
          </cell>
          <cell r="K752" t="str">
            <v>30</v>
          </cell>
          <cell r="N752" t="str">
            <v/>
          </cell>
          <cell r="O752" t="str">
            <v>F</v>
          </cell>
          <cell r="S752">
            <v>4325960</v>
          </cell>
          <cell r="Y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</row>
        <row r="753">
          <cell r="I753" t="str">
            <v>3100</v>
          </cell>
          <cell r="K753" t="str">
            <v>30</v>
          </cell>
          <cell r="N753" t="str">
            <v/>
          </cell>
          <cell r="O753" t="str">
            <v>F</v>
          </cell>
          <cell r="S753">
            <v>2829118645</v>
          </cell>
          <cell r="Y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1071597033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</row>
        <row r="754">
          <cell r="I754" t="str">
            <v>3100</v>
          </cell>
          <cell r="K754" t="str">
            <v>30</v>
          </cell>
          <cell r="N754" t="str">
            <v/>
          </cell>
          <cell r="O754" t="str">
            <v>F</v>
          </cell>
          <cell r="S754">
            <v>-2922512</v>
          </cell>
          <cell r="Y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</row>
        <row r="755">
          <cell r="I755" t="str">
            <v>3100</v>
          </cell>
          <cell r="K755" t="str">
            <v>30</v>
          </cell>
          <cell r="N755" t="str">
            <v/>
          </cell>
          <cell r="O755" t="str">
            <v>F</v>
          </cell>
          <cell r="S755">
            <v>11637165</v>
          </cell>
          <cell r="Y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</row>
        <row r="756">
          <cell r="I756" t="str">
            <v>3100</v>
          </cell>
          <cell r="K756" t="str">
            <v>30</v>
          </cell>
          <cell r="N756" t="str">
            <v/>
          </cell>
          <cell r="O756" t="str">
            <v>F</v>
          </cell>
          <cell r="S756">
            <v>537375551</v>
          </cell>
          <cell r="Y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292742799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</row>
        <row r="757">
          <cell r="I757" t="str">
            <v>3100</v>
          </cell>
          <cell r="K757" t="str">
            <v>30</v>
          </cell>
          <cell r="N757" t="str">
            <v/>
          </cell>
          <cell r="O757" t="str">
            <v>F</v>
          </cell>
          <cell r="S757">
            <v>-3601038</v>
          </cell>
          <cell r="Y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</row>
        <row r="758">
          <cell r="I758" t="str">
            <v>3100</v>
          </cell>
          <cell r="K758" t="str">
            <v>30</v>
          </cell>
          <cell r="N758" t="str">
            <v/>
          </cell>
          <cell r="O758" t="str">
            <v>F</v>
          </cell>
          <cell r="S758">
            <v>2492607</v>
          </cell>
          <cell r="Y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</row>
        <row r="759">
          <cell r="I759" t="str">
            <v>3100</v>
          </cell>
          <cell r="K759" t="str">
            <v>30</v>
          </cell>
          <cell r="N759" t="str">
            <v/>
          </cell>
          <cell r="O759" t="str">
            <v>F</v>
          </cell>
          <cell r="S759">
            <v>184365296</v>
          </cell>
          <cell r="Y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87216376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</row>
        <row r="760">
          <cell r="I760" t="str">
            <v>3100</v>
          </cell>
          <cell r="K760" t="str">
            <v>30</v>
          </cell>
          <cell r="N760" t="str">
            <v/>
          </cell>
          <cell r="O760" t="str">
            <v>F</v>
          </cell>
          <cell r="S760">
            <v>-8961334</v>
          </cell>
          <cell r="Y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</row>
        <row r="761">
          <cell r="I761" t="str">
            <v>3100</v>
          </cell>
          <cell r="K761" t="str">
            <v>30</v>
          </cell>
          <cell r="N761" t="str">
            <v/>
          </cell>
          <cell r="O761" t="str">
            <v>F</v>
          </cell>
          <cell r="S761">
            <v>5139872</v>
          </cell>
          <cell r="Y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</row>
        <row r="762">
          <cell r="I762" t="str">
            <v>3100</v>
          </cell>
          <cell r="K762" t="str">
            <v>30</v>
          </cell>
          <cell r="N762" t="str">
            <v/>
          </cell>
          <cell r="O762" t="str">
            <v>F</v>
          </cell>
          <cell r="S762">
            <v>587269142</v>
          </cell>
          <cell r="Y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303015744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</row>
        <row r="763">
          <cell r="I763" t="str">
            <v>7900</v>
          </cell>
          <cell r="K763" t="str">
            <v>30</v>
          </cell>
          <cell r="N763" t="str">
            <v/>
          </cell>
          <cell r="O763" t="str">
            <v>F</v>
          </cell>
          <cell r="S763">
            <v>-13187828</v>
          </cell>
          <cell r="Y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</row>
        <row r="764">
          <cell r="I764" t="str">
            <v>7900</v>
          </cell>
          <cell r="K764" t="str">
            <v>30</v>
          </cell>
          <cell r="N764" t="str">
            <v/>
          </cell>
          <cell r="O764" t="str">
            <v>F</v>
          </cell>
          <cell r="S764">
            <v>0</v>
          </cell>
          <cell r="Y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</row>
        <row r="765">
          <cell r="I765" t="str">
            <v>7900</v>
          </cell>
          <cell r="K765" t="str">
            <v>30</v>
          </cell>
          <cell r="N765" t="str">
            <v/>
          </cell>
          <cell r="O765" t="str">
            <v>F</v>
          </cell>
          <cell r="S765">
            <v>1040548908</v>
          </cell>
          <cell r="Y765">
            <v>0</v>
          </cell>
          <cell r="AB765">
            <v>401551349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14327</v>
          </cell>
          <cell r="AJ765">
            <v>0</v>
          </cell>
          <cell r="AK765">
            <v>0</v>
          </cell>
          <cell r="AL765">
            <v>0</v>
          </cell>
          <cell r="AM765">
            <v>27945467</v>
          </cell>
          <cell r="AN765">
            <v>45264720</v>
          </cell>
          <cell r="AO765">
            <v>0</v>
          </cell>
          <cell r="AP765">
            <v>11864752</v>
          </cell>
          <cell r="AQ765">
            <v>33325233</v>
          </cell>
          <cell r="AR765">
            <v>29589062</v>
          </cell>
          <cell r="AS765">
            <v>1413</v>
          </cell>
          <cell r="AT765">
            <v>0</v>
          </cell>
          <cell r="AU765">
            <v>-3639457</v>
          </cell>
          <cell r="AV765">
            <v>6109497</v>
          </cell>
          <cell r="AW765">
            <v>3309203</v>
          </cell>
          <cell r="AX765">
            <v>1019336</v>
          </cell>
          <cell r="AY765">
            <v>17678</v>
          </cell>
          <cell r="AZ765">
            <v>0</v>
          </cell>
        </row>
        <row r="766">
          <cell r="I766" t="str">
            <v>7900</v>
          </cell>
          <cell r="K766" t="str">
            <v>30</v>
          </cell>
          <cell r="N766" t="str">
            <v/>
          </cell>
          <cell r="O766" t="str">
            <v>F</v>
          </cell>
          <cell r="S766">
            <v>-2754532</v>
          </cell>
          <cell r="Y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</row>
        <row r="767">
          <cell r="I767" t="str">
            <v>7900</v>
          </cell>
          <cell r="K767" t="str">
            <v>30</v>
          </cell>
          <cell r="N767" t="str">
            <v/>
          </cell>
          <cell r="O767" t="str">
            <v>F</v>
          </cell>
          <cell r="S767">
            <v>0</v>
          </cell>
          <cell r="Y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</row>
        <row r="768">
          <cell r="I768" t="str">
            <v>7900</v>
          </cell>
          <cell r="K768" t="str">
            <v>30</v>
          </cell>
          <cell r="N768" t="str">
            <v/>
          </cell>
          <cell r="O768" t="str">
            <v>F</v>
          </cell>
          <cell r="S768">
            <v>176848892</v>
          </cell>
          <cell r="Y768">
            <v>0</v>
          </cell>
          <cell r="AB768">
            <v>95293701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107325</v>
          </cell>
          <cell r="AJ768">
            <v>0</v>
          </cell>
          <cell r="AK768">
            <v>0</v>
          </cell>
          <cell r="AL768">
            <v>0</v>
          </cell>
          <cell r="AM768">
            <v>6896044</v>
          </cell>
          <cell r="AN768">
            <v>11851183</v>
          </cell>
          <cell r="AO768">
            <v>0</v>
          </cell>
          <cell r="AP768">
            <v>805644</v>
          </cell>
          <cell r="AQ768">
            <v>6540383</v>
          </cell>
          <cell r="AR768">
            <v>3570019</v>
          </cell>
          <cell r="AS768">
            <v>73</v>
          </cell>
          <cell r="AT768">
            <v>0</v>
          </cell>
          <cell r="AU768">
            <v>-4589614</v>
          </cell>
          <cell r="AV768">
            <v>2502785</v>
          </cell>
          <cell r="AW768">
            <v>1097902</v>
          </cell>
          <cell r="AX768">
            <v>492295</v>
          </cell>
          <cell r="AY768">
            <v>59939</v>
          </cell>
          <cell r="AZ768">
            <v>-79</v>
          </cell>
        </row>
        <row r="769">
          <cell r="I769" t="str">
            <v>7900</v>
          </cell>
          <cell r="K769" t="str">
            <v>30</v>
          </cell>
          <cell r="N769" t="str">
            <v/>
          </cell>
          <cell r="O769" t="str">
            <v>F</v>
          </cell>
          <cell r="S769">
            <v>-2981177</v>
          </cell>
          <cell r="Y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</row>
        <row r="770">
          <cell r="I770" t="str">
            <v>7900</v>
          </cell>
          <cell r="K770" t="str">
            <v>30</v>
          </cell>
          <cell r="N770" t="str">
            <v/>
          </cell>
          <cell r="O770" t="str">
            <v>F</v>
          </cell>
          <cell r="S770">
            <v>0</v>
          </cell>
          <cell r="Y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</row>
        <row r="771">
          <cell r="I771" t="str">
            <v>7900</v>
          </cell>
          <cell r="K771" t="str">
            <v>30</v>
          </cell>
          <cell r="N771" t="str">
            <v/>
          </cell>
          <cell r="O771" t="str">
            <v>F</v>
          </cell>
          <cell r="S771">
            <v>136911010</v>
          </cell>
          <cell r="Y771">
            <v>0</v>
          </cell>
          <cell r="AB771">
            <v>69221500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8806652</v>
          </cell>
          <cell r="AN771">
            <v>14546484</v>
          </cell>
          <cell r="AO771">
            <v>0</v>
          </cell>
          <cell r="AP771">
            <v>3397111</v>
          </cell>
          <cell r="AQ771">
            <v>10375505</v>
          </cell>
          <cell r="AR771">
            <v>8991983</v>
          </cell>
          <cell r="AS771">
            <v>40</v>
          </cell>
          <cell r="AT771">
            <v>0</v>
          </cell>
          <cell r="AU771">
            <v>-2310314</v>
          </cell>
          <cell r="AV771">
            <v>0</v>
          </cell>
          <cell r="AW771">
            <v>1223400</v>
          </cell>
          <cell r="AX771">
            <v>536949</v>
          </cell>
          <cell r="AY771">
            <v>0</v>
          </cell>
          <cell r="AZ771">
            <v>0</v>
          </cell>
        </row>
        <row r="772">
          <cell r="I772" t="str">
            <v>7920</v>
          </cell>
          <cell r="K772" t="str">
            <v>30</v>
          </cell>
          <cell r="N772" t="str">
            <v/>
          </cell>
          <cell r="O772" t="str">
            <v>F</v>
          </cell>
          <cell r="S772">
            <v>-162771</v>
          </cell>
          <cell r="Y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</row>
        <row r="773">
          <cell r="I773" t="str">
            <v>7920</v>
          </cell>
          <cell r="K773" t="str">
            <v>30</v>
          </cell>
          <cell r="N773" t="str">
            <v/>
          </cell>
          <cell r="O773" t="str">
            <v>F</v>
          </cell>
          <cell r="S773">
            <v>0</v>
          </cell>
          <cell r="Y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</row>
        <row r="774">
          <cell r="I774" t="str">
            <v>7920</v>
          </cell>
          <cell r="K774" t="str">
            <v>30</v>
          </cell>
          <cell r="N774" t="str">
            <v/>
          </cell>
          <cell r="O774" t="str">
            <v>F</v>
          </cell>
          <cell r="S774">
            <v>40187095</v>
          </cell>
          <cell r="Y774">
            <v>0</v>
          </cell>
          <cell r="AB774">
            <v>41</v>
          </cell>
          <cell r="AC774">
            <v>3419650</v>
          </cell>
          <cell r="AD774">
            <v>0</v>
          </cell>
          <cell r="AE774">
            <v>0</v>
          </cell>
          <cell r="AF774">
            <v>0</v>
          </cell>
          <cell r="AG774">
            <v>3223487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14229669</v>
          </cell>
          <cell r="AO774">
            <v>7766669</v>
          </cell>
          <cell r="AP774">
            <v>0</v>
          </cell>
          <cell r="AQ774">
            <v>21279047</v>
          </cell>
          <cell r="AR774">
            <v>41682237</v>
          </cell>
          <cell r="AS774">
            <v>16530</v>
          </cell>
          <cell r="AT774">
            <v>0</v>
          </cell>
          <cell r="AU774">
            <v>-386285</v>
          </cell>
          <cell r="AV774">
            <v>124381</v>
          </cell>
          <cell r="AW774">
            <v>776813</v>
          </cell>
          <cell r="AX774">
            <v>0</v>
          </cell>
          <cell r="AY774">
            <v>0</v>
          </cell>
          <cell r="AZ774">
            <v>0</v>
          </cell>
        </row>
        <row r="775">
          <cell r="I775" t="str">
            <v>3100</v>
          </cell>
          <cell r="K775" t="str">
            <v>30</v>
          </cell>
          <cell r="N775" t="str">
            <v/>
          </cell>
          <cell r="O775" t="str">
            <v>F</v>
          </cell>
          <cell r="S775">
            <v>-326738</v>
          </cell>
          <cell r="Y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</row>
        <row r="776">
          <cell r="I776" t="str">
            <v>3100</v>
          </cell>
          <cell r="K776" t="str">
            <v>30</v>
          </cell>
          <cell r="N776" t="str">
            <v/>
          </cell>
          <cell r="O776" t="str">
            <v>F</v>
          </cell>
          <cell r="S776">
            <v>154758</v>
          </cell>
          <cell r="Y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</row>
        <row r="777">
          <cell r="I777" t="str">
            <v>3100</v>
          </cell>
          <cell r="K777" t="str">
            <v>30</v>
          </cell>
          <cell r="N777" t="str">
            <v/>
          </cell>
          <cell r="O777" t="str">
            <v>F</v>
          </cell>
          <cell r="S777">
            <v>128635221</v>
          </cell>
          <cell r="Y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66635485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</row>
        <row r="778">
          <cell r="I778" t="str">
            <v>3100</v>
          </cell>
          <cell r="K778" t="str">
            <v>30</v>
          </cell>
          <cell r="N778" t="str">
            <v/>
          </cell>
          <cell r="O778" t="str">
            <v>F</v>
          </cell>
          <cell r="S778">
            <v>-1725103</v>
          </cell>
          <cell r="Y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</row>
        <row r="779">
          <cell r="I779" t="str">
            <v>3100</v>
          </cell>
          <cell r="K779" t="str">
            <v>30</v>
          </cell>
          <cell r="N779" t="str">
            <v/>
          </cell>
          <cell r="O779" t="str">
            <v>F</v>
          </cell>
          <cell r="S779">
            <v>810982</v>
          </cell>
          <cell r="Y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</row>
        <row r="780">
          <cell r="I780" t="str">
            <v>3100</v>
          </cell>
          <cell r="K780" t="str">
            <v>30</v>
          </cell>
          <cell r="N780" t="str">
            <v/>
          </cell>
          <cell r="O780" t="str">
            <v>F</v>
          </cell>
          <cell r="S780">
            <v>50276618</v>
          </cell>
          <cell r="Y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28353560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</row>
        <row r="781">
          <cell r="I781" t="str">
            <v>3100</v>
          </cell>
          <cell r="K781" t="str">
            <v>30</v>
          </cell>
          <cell r="N781" t="str">
            <v/>
          </cell>
          <cell r="O781" t="str">
            <v>F</v>
          </cell>
          <cell r="S781">
            <v>-152937</v>
          </cell>
          <cell r="Y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</row>
        <row r="782">
          <cell r="I782" t="str">
            <v>3100</v>
          </cell>
          <cell r="K782" t="str">
            <v>30</v>
          </cell>
          <cell r="N782" t="str">
            <v/>
          </cell>
          <cell r="O782" t="str">
            <v>F</v>
          </cell>
          <cell r="S782">
            <v>0</v>
          </cell>
          <cell r="Y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</row>
        <row r="783">
          <cell r="I783" t="str">
            <v>3100</v>
          </cell>
          <cell r="K783" t="str">
            <v>30</v>
          </cell>
          <cell r="N783" t="str">
            <v/>
          </cell>
          <cell r="O783" t="str">
            <v>F</v>
          </cell>
          <cell r="S783">
            <v>18997655</v>
          </cell>
          <cell r="Y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6656414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</row>
        <row r="784">
          <cell r="I784" t="str">
            <v>3100</v>
          </cell>
          <cell r="K784" t="str">
            <v>30</v>
          </cell>
          <cell r="N784" t="str">
            <v/>
          </cell>
          <cell r="O784" t="str">
            <v>F</v>
          </cell>
          <cell r="S784">
            <v>-6600816</v>
          </cell>
          <cell r="Y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</row>
        <row r="785">
          <cell r="I785" t="str">
            <v>3100</v>
          </cell>
          <cell r="K785" t="str">
            <v>30</v>
          </cell>
          <cell r="N785" t="str">
            <v/>
          </cell>
          <cell r="O785" t="str">
            <v>F</v>
          </cell>
          <cell r="S785">
            <v>114871986</v>
          </cell>
          <cell r="Y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40894144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</row>
        <row r="786">
          <cell r="I786" t="str">
            <v>3100</v>
          </cell>
          <cell r="K786" t="str">
            <v>30</v>
          </cell>
          <cell r="N786" t="str">
            <v/>
          </cell>
          <cell r="O786" t="str">
            <v>F</v>
          </cell>
          <cell r="S786">
            <v>-678781</v>
          </cell>
          <cell r="Y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</row>
        <row r="787">
          <cell r="I787" t="str">
            <v>3100</v>
          </cell>
          <cell r="K787" t="str">
            <v>30</v>
          </cell>
          <cell r="N787" t="str">
            <v/>
          </cell>
          <cell r="O787" t="str">
            <v>F</v>
          </cell>
          <cell r="S787">
            <v>7577701</v>
          </cell>
          <cell r="Y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</row>
        <row r="788">
          <cell r="I788" t="str">
            <v>3100</v>
          </cell>
          <cell r="K788" t="str">
            <v>30</v>
          </cell>
          <cell r="N788" t="str">
            <v/>
          </cell>
          <cell r="O788" t="str">
            <v>F</v>
          </cell>
          <cell r="S788">
            <v>558466898</v>
          </cell>
          <cell r="Y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310229648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</row>
        <row r="789">
          <cell r="I789" t="str">
            <v>3100</v>
          </cell>
          <cell r="K789" t="str">
            <v>30</v>
          </cell>
          <cell r="N789" t="str">
            <v/>
          </cell>
          <cell r="O789" t="str">
            <v>F</v>
          </cell>
          <cell r="S789">
            <v>-1045411</v>
          </cell>
          <cell r="Y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</row>
        <row r="790">
          <cell r="I790" t="str">
            <v>3100</v>
          </cell>
          <cell r="K790" t="str">
            <v>30</v>
          </cell>
          <cell r="N790" t="str">
            <v/>
          </cell>
          <cell r="O790" t="str">
            <v>F</v>
          </cell>
          <cell r="S790">
            <v>94742</v>
          </cell>
          <cell r="Y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</row>
        <row r="791">
          <cell r="I791" t="str">
            <v>3100</v>
          </cell>
          <cell r="K791" t="str">
            <v>30</v>
          </cell>
          <cell r="N791" t="str">
            <v/>
          </cell>
          <cell r="O791" t="str">
            <v>F</v>
          </cell>
          <cell r="S791">
            <v>18439866</v>
          </cell>
          <cell r="Y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8651066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</row>
        <row r="792">
          <cell r="I792" t="str">
            <v>3100</v>
          </cell>
          <cell r="K792" t="str">
            <v>30</v>
          </cell>
          <cell r="N792" t="str">
            <v/>
          </cell>
          <cell r="O792" t="str">
            <v>F</v>
          </cell>
          <cell r="S792">
            <v>-43820</v>
          </cell>
          <cell r="Y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</row>
        <row r="793">
          <cell r="I793" t="str">
            <v>3100</v>
          </cell>
          <cell r="K793" t="str">
            <v>30</v>
          </cell>
          <cell r="N793" t="str">
            <v/>
          </cell>
          <cell r="O793" t="str">
            <v>F</v>
          </cell>
          <cell r="S793">
            <v>0</v>
          </cell>
          <cell r="Y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</row>
        <row r="794">
          <cell r="I794" t="str">
            <v>3100</v>
          </cell>
          <cell r="K794" t="str">
            <v>30</v>
          </cell>
          <cell r="N794" t="str">
            <v/>
          </cell>
          <cell r="O794" t="str">
            <v>F</v>
          </cell>
          <cell r="S794">
            <v>13211939</v>
          </cell>
          <cell r="Y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3452079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</row>
        <row r="795">
          <cell r="I795" t="str">
            <v>7900</v>
          </cell>
          <cell r="K795" t="str">
            <v>30</v>
          </cell>
          <cell r="N795" t="str">
            <v/>
          </cell>
          <cell r="O795" t="str">
            <v>F</v>
          </cell>
          <cell r="S795">
            <v>-2386279</v>
          </cell>
          <cell r="Y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</row>
        <row r="796">
          <cell r="I796" t="str">
            <v>7900</v>
          </cell>
          <cell r="K796" t="str">
            <v>30</v>
          </cell>
          <cell r="N796" t="str">
            <v/>
          </cell>
          <cell r="O796" t="str">
            <v>F</v>
          </cell>
          <cell r="S796">
            <v>15420140</v>
          </cell>
          <cell r="Y796">
            <v>0</v>
          </cell>
          <cell r="AB796">
            <v>11046021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305069</v>
          </cell>
          <cell r="AN796">
            <v>492555</v>
          </cell>
          <cell r="AO796">
            <v>0</v>
          </cell>
          <cell r="AP796">
            <v>244957</v>
          </cell>
          <cell r="AQ796">
            <v>494966</v>
          </cell>
          <cell r="AR796">
            <v>558535</v>
          </cell>
          <cell r="AS796">
            <v>3729</v>
          </cell>
          <cell r="AT796">
            <v>0</v>
          </cell>
          <cell r="AU796">
            <v>-66266</v>
          </cell>
          <cell r="AV796">
            <v>0</v>
          </cell>
          <cell r="AW796">
            <v>34983</v>
          </cell>
          <cell r="AX796">
            <v>2859</v>
          </cell>
          <cell r="AY796">
            <v>0</v>
          </cell>
          <cell r="AZ796">
            <v>0</v>
          </cell>
        </row>
        <row r="797">
          <cell r="I797" t="str">
            <v>3100</v>
          </cell>
          <cell r="K797" t="str">
            <v>30</v>
          </cell>
          <cell r="N797" t="str">
            <v/>
          </cell>
          <cell r="O797" t="str">
            <v>F</v>
          </cell>
          <cell r="S797">
            <v>-70801325</v>
          </cell>
          <cell r="Y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</row>
        <row r="798">
          <cell r="I798" t="str">
            <v>3100</v>
          </cell>
          <cell r="K798" t="str">
            <v>30</v>
          </cell>
          <cell r="N798" t="str">
            <v/>
          </cell>
          <cell r="O798" t="str">
            <v>F</v>
          </cell>
          <cell r="S798">
            <v>67693128</v>
          </cell>
          <cell r="Y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</row>
        <row r="799">
          <cell r="I799" t="str">
            <v>3100</v>
          </cell>
          <cell r="K799" t="str">
            <v>30</v>
          </cell>
          <cell r="N799" t="str">
            <v/>
          </cell>
          <cell r="O799" t="str">
            <v>F</v>
          </cell>
          <cell r="S799">
            <v>926267059</v>
          </cell>
          <cell r="Y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354982047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</row>
        <row r="800">
          <cell r="I800" t="str">
            <v>3100</v>
          </cell>
          <cell r="K800" t="str">
            <v>30</v>
          </cell>
          <cell r="N800" t="str">
            <v/>
          </cell>
          <cell r="O800" t="str">
            <v>F</v>
          </cell>
          <cell r="S800">
            <v>-2351325</v>
          </cell>
          <cell r="Y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</row>
        <row r="801">
          <cell r="I801" t="str">
            <v>3100</v>
          </cell>
          <cell r="K801" t="str">
            <v>30</v>
          </cell>
          <cell r="N801" t="str">
            <v/>
          </cell>
          <cell r="O801" t="str">
            <v>F</v>
          </cell>
          <cell r="S801">
            <v>243595</v>
          </cell>
          <cell r="Y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</row>
        <row r="802">
          <cell r="I802" t="str">
            <v>3100</v>
          </cell>
          <cell r="K802" t="str">
            <v>30</v>
          </cell>
          <cell r="N802" t="str">
            <v/>
          </cell>
          <cell r="O802" t="str">
            <v>F</v>
          </cell>
          <cell r="S802">
            <v>34576651</v>
          </cell>
          <cell r="Y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16325787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</row>
        <row r="803">
          <cell r="I803" t="str">
            <v>3100</v>
          </cell>
          <cell r="K803" t="str">
            <v>30</v>
          </cell>
          <cell r="N803" t="str">
            <v/>
          </cell>
          <cell r="O803" t="str">
            <v>F</v>
          </cell>
          <cell r="S803">
            <v>-4060332</v>
          </cell>
          <cell r="Y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</row>
        <row r="804">
          <cell r="I804" t="str">
            <v>3100</v>
          </cell>
          <cell r="K804" t="str">
            <v>30</v>
          </cell>
          <cell r="N804" t="str">
            <v/>
          </cell>
          <cell r="O804" t="str">
            <v>F</v>
          </cell>
          <cell r="S804">
            <v>581363375</v>
          </cell>
          <cell r="Y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257738957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</row>
        <row r="805">
          <cell r="I805" t="str">
            <v>3100</v>
          </cell>
          <cell r="K805" t="str">
            <v>30</v>
          </cell>
          <cell r="N805" t="str">
            <v/>
          </cell>
          <cell r="O805" t="str">
            <v>F</v>
          </cell>
          <cell r="S805">
            <v>0</v>
          </cell>
          <cell r="Y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</row>
        <row r="806">
          <cell r="I806" t="str">
            <v>3100</v>
          </cell>
          <cell r="K806" t="str">
            <v>30</v>
          </cell>
          <cell r="N806" t="str">
            <v/>
          </cell>
          <cell r="O806" t="str">
            <v>F</v>
          </cell>
          <cell r="S806">
            <v>9867231</v>
          </cell>
          <cell r="Y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</row>
        <row r="807">
          <cell r="I807" t="str">
            <v>3100</v>
          </cell>
          <cell r="K807" t="str">
            <v>30</v>
          </cell>
          <cell r="N807" t="str">
            <v/>
          </cell>
          <cell r="O807" t="str">
            <v>F</v>
          </cell>
          <cell r="S807">
            <v>174841</v>
          </cell>
          <cell r="Y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1835185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</row>
        <row r="808">
          <cell r="I808" t="str">
            <v>3100</v>
          </cell>
          <cell r="K808" t="str">
            <v>30</v>
          </cell>
          <cell r="N808" t="str">
            <v/>
          </cell>
          <cell r="O808" t="str">
            <v>F</v>
          </cell>
          <cell r="S808">
            <v>-1603719</v>
          </cell>
          <cell r="Y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</row>
        <row r="809">
          <cell r="I809" t="str">
            <v>3100</v>
          </cell>
          <cell r="K809" t="str">
            <v>30</v>
          </cell>
          <cell r="N809" t="str">
            <v/>
          </cell>
          <cell r="O809" t="str">
            <v>F</v>
          </cell>
          <cell r="S809">
            <v>0</v>
          </cell>
          <cell r="Y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</row>
        <row r="810">
          <cell r="I810" t="str">
            <v>3100</v>
          </cell>
          <cell r="K810" t="str">
            <v>30</v>
          </cell>
          <cell r="N810" t="str">
            <v/>
          </cell>
          <cell r="O810" t="str">
            <v>F</v>
          </cell>
          <cell r="S810">
            <v>110071519</v>
          </cell>
          <cell r="Y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56292545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</row>
        <row r="811">
          <cell r="I811" t="str">
            <v>3100</v>
          </cell>
          <cell r="K811" t="str">
            <v>30</v>
          </cell>
          <cell r="N811" t="str">
            <v/>
          </cell>
          <cell r="O811" t="str">
            <v>F</v>
          </cell>
          <cell r="S811">
            <v>-1053025</v>
          </cell>
          <cell r="Y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</row>
        <row r="812">
          <cell r="I812" t="str">
            <v>3100</v>
          </cell>
          <cell r="K812" t="str">
            <v>30</v>
          </cell>
          <cell r="N812" t="str">
            <v/>
          </cell>
          <cell r="O812" t="str">
            <v>F</v>
          </cell>
          <cell r="S812">
            <v>452121</v>
          </cell>
          <cell r="Y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</row>
        <row r="813">
          <cell r="I813" t="str">
            <v>3100</v>
          </cell>
          <cell r="K813" t="str">
            <v>30</v>
          </cell>
          <cell r="N813" t="str">
            <v/>
          </cell>
          <cell r="O813" t="str">
            <v>F</v>
          </cell>
          <cell r="S813">
            <v>104733580</v>
          </cell>
          <cell r="Y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38390262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</row>
        <row r="814">
          <cell r="I814" t="str">
            <v>3100</v>
          </cell>
          <cell r="K814" t="str">
            <v>30</v>
          </cell>
          <cell r="N814" t="str">
            <v/>
          </cell>
          <cell r="O814" t="str">
            <v>F</v>
          </cell>
          <cell r="S814">
            <v>-514131</v>
          </cell>
          <cell r="Y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</row>
        <row r="815">
          <cell r="I815" t="str">
            <v>3100</v>
          </cell>
          <cell r="K815" t="str">
            <v>30</v>
          </cell>
          <cell r="N815" t="str">
            <v/>
          </cell>
          <cell r="O815" t="str">
            <v>F</v>
          </cell>
          <cell r="S815">
            <v>542742774</v>
          </cell>
          <cell r="Y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41187505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</row>
        <row r="816">
          <cell r="I816" t="str">
            <v>3100</v>
          </cell>
          <cell r="K816" t="str">
            <v>30</v>
          </cell>
          <cell r="N816" t="str">
            <v/>
          </cell>
          <cell r="O816" t="str">
            <v>F</v>
          </cell>
          <cell r="S816">
            <v>-13631936</v>
          </cell>
          <cell r="Y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</row>
        <row r="817">
          <cell r="I817" t="str">
            <v>3100</v>
          </cell>
          <cell r="K817" t="str">
            <v>30</v>
          </cell>
          <cell r="N817" t="str">
            <v/>
          </cell>
          <cell r="O817" t="str">
            <v>F</v>
          </cell>
          <cell r="S817">
            <v>1689538</v>
          </cell>
          <cell r="Y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</row>
        <row r="818">
          <cell r="I818" t="str">
            <v>3100</v>
          </cell>
          <cell r="K818" t="str">
            <v>30</v>
          </cell>
          <cell r="N818" t="str">
            <v/>
          </cell>
          <cell r="O818" t="str">
            <v>F</v>
          </cell>
          <cell r="S818">
            <v>180280397</v>
          </cell>
          <cell r="Y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90725985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</row>
        <row r="819">
          <cell r="I819" t="str">
            <v>3100</v>
          </cell>
          <cell r="K819" t="str">
            <v>30</v>
          </cell>
          <cell r="N819" t="str">
            <v/>
          </cell>
          <cell r="O819" t="str">
            <v>F</v>
          </cell>
          <cell r="S819">
            <v>-1481580</v>
          </cell>
          <cell r="Y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</row>
        <row r="820">
          <cell r="I820" t="str">
            <v/>
          </cell>
          <cell r="K820" t="str">
            <v/>
          </cell>
          <cell r="N820" t="str">
            <v>A</v>
          </cell>
          <cell r="O820" t="str">
            <v>B</v>
          </cell>
          <cell r="S820">
            <v>0</v>
          </cell>
          <cell r="Y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</row>
        <row r="821">
          <cell r="I821" t="str">
            <v/>
          </cell>
          <cell r="K821" t="str">
            <v/>
          </cell>
          <cell r="N821" t="str">
            <v>B</v>
          </cell>
          <cell r="O821" t="str">
            <v>B</v>
          </cell>
          <cell r="S821">
            <v>0</v>
          </cell>
          <cell r="Y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</row>
        <row r="822">
          <cell r="I822" t="str">
            <v/>
          </cell>
          <cell r="K822" t="str">
            <v/>
          </cell>
          <cell r="N822" t="str">
            <v>D</v>
          </cell>
          <cell r="O822" t="str">
            <v>B</v>
          </cell>
          <cell r="S822">
            <v>0</v>
          </cell>
          <cell r="Y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</row>
        <row r="823">
          <cell r="I823" t="str">
            <v/>
          </cell>
          <cell r="K823" t="str">
            <v/>
          </cell>
          <cell r="N823" t="str">
            <v>E</v>
          </cell>
          <cell r="O823" t="str">
            <v>B</v>
          </cell>
          <cell r="S823">
            <v>0</v>
          </cell>
          <cell r="Y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</row>
        <row r="824">
          <cell r="I824" t="str">
            <v/>
          </cell>
          <cell r="K824" t="str">
            <v/>
          </cell>
          <cell r="N824" t="str">
            <v>H</v>
          </cell>
          <cell r="O824" t="str">
            <v>B</v>
          </cell>
          <cell r="S824">
            <v>0</v>
          </cell>
          <cell r="Y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</row>
        <row r="825">
          <cell r="I825" t="str">
            <v/>
          </cell>
          <cell r="K825" t="str">
            <v>10</v>
          </cell>
          <cell r="N825" t="str">
            <v>5</v>
          </cell>
          <cell r="O825" t="str">
            <v>B</v>
          </cell>
          <cell r="S825">
            <v>0</v>
          </cell>
          <cell r="Y825">
            <v>34339769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</row>
        <row r="826">
          <cell r="I826" t="str">
            <v/>
          </cell>
          <cell r="K826" t="str">
            <v>10</v>
          </cell>
          <cell r="N826" t="str">
            <v>Z</v>
          </cell>
          <cell r="O826" t="str">
            <v>B</v>
          </cell>
          <cell r="S826">
            <v>0</v>
          </cell>
          <cell r="Y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</row>
        <row r="827">
          <cell r="I827" t="str">
            <v/>
          </cell>
          <cell r="K827" t="str">
            <v>92</v>
          </cell>
          <cell r="N827" t="str">
            <v>3</v>
          </cell>
          <cell r="O827" t="str">
            <v>B</v>
          </cell>
          <cell r="S827">
            <v>0</v>
          </cell>
          <cell r="Y827">
            <v>2155400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</row>
        <row r="828">
          <cell r="I828" t="str">
            <v>7920</v>
          </cell>
          <cell r="K828" t="str">
            <v>10</v>
          </cell>
          <cell r="N828" t="str">
            <v>1</v>
          </cell>
          <cell r="O828" t="str">
            <v>D</v>
          </cell>
          <cell r="S828">
            <v>0</v>
          </cell>
          <cell r="Y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</row>
        <row r="829">
          <cell r="I829" t="str">
            <v>7920</v>
          </cell>
          <cell r="K829" t="str">
            <v>10</v>
          </cell>
          <cell r="N829" t="str">
            <v/>
          </cell>
          <cell r="O829" t="str">
            <v>F</v>
          </cell>
          <cell r="S829">
            <v>5778</v>
          </cell>
          <cell r="Y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</row>
        <row r="830">
          <cell r="I830" t="str">
            <v>3100</v>
          </cell>
          <cell r="K830" t="str">
            <v>10</v>
          </cell>
          <cell r="N830" t="str">
            <v>1</v>
          </cell>
          <cell r="O830" t="str">
            <v>D</v>
          </cell>
          <cell r="S830">
            <v>0</v>
          </cell>
          <cell r="Y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</row>
        <row r="831">
          <cell r="I831" t="str">
            <v>7920</v>
          </cell>
          <cell r="K831" t="str">
            <v>10</v>
          </cell>
          <cell r="N831" t="str">
            <v>1</v>
          </cell>
          <cell r="O831" t="str">
            <v>D</v>
          </cell>
          <cell r="S831">
            <v>0</v>
          </cell>
          <cell r="Y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</row>
        <row r="832">
          <cell r="I832" t="str">
            <v>7920</v>
          </cell>
          <cell r="K832" t="str">
            <v>10</v>
          </cell>
          <cell r="N832" t="str">
            <v>1</v>
          </cell>
          <cell r="O832" t="str">
            <v>D</v>
          </cell>
          <cell r="S832">
            <v>0</v>
          </cell>
          <cell r="Y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</row>
        <row r="833">
          <cell r="I833" t="str">
            <v>7920</v>
          </cell>
          <cell r="K833" t="str">
            <v>10</v>
          </cell>
          <cell r="N833" t="str">
            <v>1</v>
          </cell>
          <cell r="O833" t="str">
            <v>D</v>
          </cell>
          <cell r="S833">
            <v>0</v>
          </cell>
          <cell r="Y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</row>
        <row r="834">
          <cell r="I834" t="str">
            <v>7920</v>
          </cell>
          <cell r="K834" t="str">
            <v>10</v>
          </cell>
          <cell r="N834" t="str">
            <v>1</v>
          </cell>
          <cell r="O834" t="str">
            <v>D</v>
          </cell>
          <cell r="S834">
            <v>0</v>
          </cell>
          <cell r="Y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</row>
        <row r="835">
          <cell r="I835" t="str">
            <v>7920</v>
          </cell>
          <cell r="K835" t="str">
            <v>10</v>
          </cell>
          <cell r="N835" t="str">
            <v>1</v>
          </cell>
          <cell r="O835" t="str">
            <v>D</v>
          </cell>
          <cell r="S835">
            <v>0</v>
          </cell>
          <cell r="Y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</row>
        <row r="836">
          <cell r="I836" t="str">
            <v>7920</v>
          </cell>
          <cell r="K836" t="str">
            <v>20</v>
          </cell>
          <cell r="N836" t="str">
            <v>1</v>
          </cell>
          <cell r="O836" t="str">
            <v>D</v>
          </cell>
          <cell r="S836">
            <v>0</v>
          </cell>
          <cell r="Y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</row>
        <row r="837">
          <cell r="I837" t="str">
            <v>7920</v>
          </cell>
          <cell r="K837" t="str">
            <v>20</v>
          </cell>
          <cell r="N837" t="str">
            <v>1</v>
          </cell>
          <cell r="O837" t="str">
            <v>D</v>
          </cell>
          <cell r="S837">
            <v>0</v>
          </cell>
          <cell r="Y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</row>
        <row r="838">
          <cell r="I838" t="str">
            <v>7920</v>
          </cell>
          <cell r="K838" t="str">
            <v>20</v>
          </cell>
          <cell r="N838" t="str">
            <v>1</v>
          </cell>
          <cell r="O838" t="str">
            <v>D</v>
          </cell>
          <cell r="S838">
            <v>0</v>
          </cell>
          <cell r="Y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</row>
        <row r="839">
          <cell r="I839" t="str">
            <v>7920</v>
          </cell>
          <cell r="K839" t="str">
            <v>20</v>
          </cell>
          <cell r="N839" t="str">
            <v>1</v>
          </cell>
          <cell r="O839" t="str">
            <v>D</v>
          </cell>
          <cell r="S839">
            <v>0</v>
          </cell>
          <cell r="Y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</row>
        <row r="840">
          <cell r="I840" t="str">
            <v>3100</v>
          </cell>
          <cell r="K840" t="str">
            <v>10</v>
          </cell>
          <cell r="N840" t="str">
            <v/>
          </cell>
          <cell r="O840" t="str">
            <v>F</v>
          </cell>
          <cell r="S840">
            <v>414000</v>
          </cell>
          <cell r="Y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122500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</row>
        <row r="841">
          <cell r="I841" t="str">
            <v>7920</v>
          </cell>
          <cell r="K841" t="str">
            <v>10</v>
          </cell>
          <cell r="N841" t="str">
            <v/>
          </cell>
          <cell r="O841" t="str">
            <v>F</v>
          </cell>
          <cell r="S841">
            <v>186308</v>
          </cell>
          <cell r="Y841">
            <v>0</v>
          </cell>
          <cell r="AB841">
            <v>76759</v>
          </cell>
          <cell r="AC841">
            <v>10754</v>
          </cell>
          <cell r="AD841">
            <v>21351</v>
          </cell>
          <cell r="AE841">
            <v>26495</v>
          </cell>
          <cell r="AF841">
            <v>0</v>
          </cell>
          <cell r="AG841">
            <v>2457</v>
          </cell>
          <cell r="AH841">
            <v>2310</v>
          </cell>
          <cell r="AI841">
            <v>738</v>
          </cell>
          <cell r="AJ841">
            <v>0</v>
          </cell>
          <cell r="AK841">
            <v>0</v>
          </cell>
          <cell r="AL841">
            <v>0</v>
          </cell>
          <cell r="AM841">
            <v>3126</v>
          </cell>
          <cell r="AN841">
            <v>13283</v>
          </cell>
          <cell r="AO841">
            <v>13545</v>
          </cell>
          <cell r="AP841">
            <v>136</v>
          </cell>
          <cell r="AQ841">
            <v>7429</v>
          </cell>
          <cell r="AR841">
            <v>2362</v>
          </cell>
          <cell r="AS841">
            <v>32</v>
          </cell>
          <cell r="AT841">
            <v>0</v>
          </cell>
          <cell r="AU841">
            <v>-604</v>
          </cell>
          <cell r="AV841">
            <v>1287</v>
          </cell>
          <cell r="AW841">
            <v>2070</v>
          </cell>
          <cell r="AX841">
            <v>555</v>
          </cell>
          <cell r="AY841">
            <v>0</v>
          </cell>
          <cell r="AZ841">
            <v>0</v>
          </cell>
        </row>
        <row r="842">
          <cell r="I842" t="str">
            <v>7920</v>
          </cell>
          <cell r="K842" t="str">
            <v>10</v>
          </cell>
          <cell r="N842" t="str">
            <v/>
          </cell>
          <cell r="O842" t="str">
            <v>F</v>
          </cell>
          <cell r="S842">
            <v>50403</v>
          </cell>
          <cell r="Y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</row>
        <row r="843">
          <cell r="I843" t="str">
            <v>7920</v>
          </cell>
          <cell r="K843" t="str">
            <v>10</v>
          </cell>
          <cell r="N843" t="str">
            <v/>
          </cell>
          <cell r="O843" t="str">
            <v>F</v>
          </cell>
          <cell r="S843">
            <v>11095223</v>
          </cell>
          <cell r="Y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</row>
        <row r="844">
          <cell r="I844" t="str">
            <v>7920</v>
          </cell>
          <cell r="K844" t="str">
            <v>10</v>
          </cell>
          <cell r="N844" t="str">
            <v/>
          </cell>
          <cell r="O844" t="str">
            <v>F</v>
          </cell>
          <cell r="S844">
            <v>11995710</v>
          </cell>
          <cell r="Y844">
            <v>0</v>
          </cell>
          <cell r="AB844">
            <v>3039433</v>
          </cell>
          <cell r="AC844">
            <v>756929</v>
          </cell>
          <cell r="AD844">
            <v>1442653</v>
          </cell>
          <cell r="AE844">
            <v>3486197</v>
          </cell>
          <cell r="AF844">
            <v>0</v>
          </cell>
          <cell r="AG844">
            <v>198123</v>
          </cell>
          <cell r="AH844">
            <v>60615</v>
          </cell>
          <cell r="AI844">
            <v>43288</v>
          </cell>
          <cell r="AJ844">
            <v>0</v>
          </cell>
          <cell r="AK844">
            <v>0</v>
          </cell>
          <cell r="AL844">
            <v>0</v>
          </cell>
          <cell r="AM844">
            <v>31635</v>
          </cell>
          <cell r="AN844">
            <v>542212</v>
          </cell>
          <cell r="AO844">
            <v>598359</v>
          </cell>
          <cell r="AP844">
            <v>44453</v>
          </cell>
          <cell r="AQ844">
            <v>460412</v>
          </cell>
          <cell r="AR844">
            <v>510778</v>
          </cell>
          <cell r="AS844">
            <v>1167</v>
          </cell>
          <cell r="AT844">
            <v>0</v>
          </cell>
          <cell r="AU844">
            <v>-32645</v>
          </cell>
          <cell r="AV844">
            <v>151391</v>
          </cell>
          <cell r="AW844">
            <v>233409</v>
          </cell>
          <cell r="AX844">
            <v>385</v>
          </cell>
          <cell r="AY844">
            <v>0</v>
          </cell>
          <cell r="AZ844">
            <v>0</v>
          </cell>
        </row>
        <row r="845">
          <cell r="I845" t="str">
            <v>7920</v>
          </cell>
          <cell r="K845" t="str">
            <v>10</v>
          </cell>
          <cell r="N845" t="str">
            <v/>
          </cell>
          <cell r="O845" t="str">
            <v>F</v>
          </cell>
          <cell r="S845">
            <v>-1184</v>
          </cell>
          <cell r="Y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</row>
        <row r="846">
          <cell r="I846" t="str">
            <v>7920</v>
          </cell>
          <cell r="K846" t="str">
            <v>10</v>
          </cell>
          <cell r="N846" t="str">
            <v/>
          </cell>
          <cell r="O846" t="str">
            <v>F</v>
          </cell>
          <cell r="S846">
            <v>261672</v>
          </cell>
          <cell r="Y846">
            <v>0</v>
          </cell>
          <cell r="AB846">
            <v>81453</v>
          </cell>
          <cell r="AC846">
            <v>26035</v>
          </cell>
          <cell r="AD846">
            <v>35629</v>
          </cell>
          <cell r="AE846">
            <v>60929</v>
          </cell>
          <cell r="AF846">
            <v>0</v>
          </cell>
          <cell r="AG846">
            <v>3742</v>
          </cell>
          <cell r="AH846">
            <v>2595</v>
          </cell>
          <cell r="AI846">
            <v>1275</v>
          </cell>
          <cell r="AJ846">
            <v>0</v>
          </cell>
          <cell r="AK846">
            <v>0</v>
          </cell>
          <cell r="AL846">
            <v>0</v>
          </cell>
          <cell r="AM846">
            <v>2437</v>
          </cell>
          <cell r="AN846">
            <v>16756</v>
          </cell>
          <cell r="AO846">
            <v>16524</v>
          </cell>
          <cell r="AP846">
            <v>475</v>
          </cell>
          <cell r="AQ846">
            <v>10794</v>
          </cell>
          <cell r="AR846">
            <v>4332</v>
          </cell>
          <cell r="AS846">
            <v>84</v>
          </cell>
          <cell r="AT846">
            <v>0</v>
          </cell>
          <cell r="AU846">
            <v>-1329</v>
          </cell>
          <cell r="AV846">
            <v>4778</v>
          </cell>
          <cell r="AW846">
            <v>3012</v>
          </cell>
          <cell r="AX846">
            <v>600</v>
          </cell>
          <cell r="AY846">
            <v>0</v>
          </cell>
          <cell r="AZ846">
            <v>0</v>
          </cell>
        </row>
        <row r="847">
          <cell r="I847" t="str">
            <v>7920</v>
          </cell>
          <cell r="K847" t="str">
            <v>10</v>
          </cell>
          <cell r="N847" t="str">
            <v/>
          </cell>
          <cell r="O847" t="str">
            <v>F</v>
          </cell>
          <cell r="S847">
            <v>-1436192</v>
          </cell>
          <cell r="Y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</row>
        <row r="848">
          <cell r="I848" t="str">
            <v>7920</v>
          </cell>
          <cell r="K848" t="str">
            <v>10</v>
          </cell>
          <cell r="N848" t="str">
            <v/>
          </cell>
          <cell r="O848" t="str">
            <v>F</v>
          </cell>
          <cell r="S848">
            <v>312083066</v>
          </cell>
          <cell r="Y848">
            <v>0</v>
          </cell>
          <cell r="AB848">
            <v>94337471</v>
          </cell>
          <cell r="AC848">
            <v>31438032</v>
          </cell>
          <cell r="AD848">
            <v>42271272</v>
          </cell>
          <cell r="AE848">
            <v>73611308</v>
          </cell>
          <cell r="AF848">
            <v>0</v>
          </cell>
          <cell r="AG848">
            <v>3370499</v>
          </cell>
          <cell r="AH848">
            <v>3072335</v>
          </cell>
          <cell r="AI848">
            <v>1543443</v>
          </cell>
          <cell r="AJ848">
            <v>0</v>
          </cell>
          <cell r="AK848">
            <v>0</v>
          </cell>
          <cell r="AL848">
            <v>0</v>
          </cell>
          <cell r="AM848">
            <v>3256599</v>
          </cell>
          <cell r="AN848">
            <v>21691079</v>
          </cell>
          <cell r="AO848">
            <v>22267575</v>
          </cell>
          <cell r="AP848">
            <v>399560</v>
          </cell>
          <cell r="AQ848">
            <v>12771551</v>
          </cell>
          <cell r="AR848">
            <v>5764328</v>
          </cell>
          <cell r="AS848">
            <v>83092</v>
          </cell>
          <cell r="AT848">
            <v>0</v>
          </cell>
          <cell r="AU848">
            <v>-1083787</v>
          </cell>
          <cell r="AV848">
            <v>6455677</v>
          </cell>
          <cell r="AW848">
            <v>4537683</v>
          </cell>
          <cell r="AX848">
            <v>747073</v>
          </cell>
          <cell r="AY848">
            <v>0</v>
          </cell>
          <cell r="AZ848">
            <v>0</v>
          </cell>
        </row>
        <row r="849">
          <cell r="I849" t="str">
            <v>7920</v>
          </cell>
          <cell r="K849" t="str">
            <v>20</v>
          </cell>
          <cell r="N849" t="str">
            <v/>
          </cell>
          <cell r="O849" t="str">
            <v>F</v>
          </cell>
          <cell r="S849">
            <v>7908570</v>
          </cell>
          <cell r="Y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</row>
        <row r="850">
          <cell r="I850" t="str">
            <v>7920</v>
          </cell>
          <cell r="K850" t="str">
            <v>20</v>
          </cell>
          <cell r="N850" t="str">
            <v/>
          </cell>
          <cell r="O850" t="str">
            <v>F</v>
          </cell>
          <cell r="S850">
            <v>11685934</v>
          </cell>
          <cell r="Y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</row>
        <row r="851">
          <cell r="I851" t="str">
            <v>7920</v>
          </cell>
          <cell r="K851" t="str">
            <v>20</v>
          </cell>
          <cell r="N851" t="str">
            <v/>
          </cell>
          <cell r="O851" t="str">
            <v>F</v>
          </cell>
          <cell r="S851">
            <v>22243810</v>
          </cell>
          <cell r="Y851">
            <v>0</v>
          </cell>
          <cell r="AB851">
            <v>5263187</v>
          </cell>
          <cell r="AC851">
            <v>1116351</v>
          </cell>
          <cell r="AD851">
            <v>2510473</v>
          </cell>
          <cell r="AE851">
            <v>6100027</v>
          </cell>
          <cell r="AF851">
            <v>0</v>
          </cell>
          <cell r="AG851">
            <v>333379</v>
          </cell>
          <cell r="AH851">
            <v>98708</v>
          </cell>
          <cell r="AI851">
            <v>85097</v>
          </cell>
          <cell r="AJ851">
            <v>0</v>
          </cell>
          <cell r="AK851">
            <v>0</v>
          </cell>
          <cell r="AL851">
            <v>0</v>
          </cell>
          <cell r="AM851">
            <v>64813</v>
          </cell>
          <cell r="AN851">
            <v>913466</v>
          </cell>
          <cell r="AO851">
            <v>995130</v>
          </cell>
          <cell r="AP851">
            <v>71739</v>
          </cell>
          <cell r="AQ851">
            <v>747851</v>
          </cell>
          <cell r="AR851">
            <v>750878</v>
          </cell>
          <cell r="AS851">
            <v>2246</v>
          </cell>
          <cell r="AT851">
            <v>0</v>
          </cell>
          <cell r="AU851">
            <v>-80100</v>
          </cell>
          <cell r="AV851">
            <v>815104</v>
          </cell>
          <cell r="AW851">
            <v>396060</v>
          </cell>
          <cell r="AX851">
            <v>1784</v>
          </cell>
          <cell r="AY851">
            <v>0</v>
          </cell>
          <cell r="AZ851">
            <v>0</v>
          </cell>
        </row>
        <row r="852">
          <cell r="I852" t="str">
            <v>7920</v>
          </cell>
          <cell r="K852" t="str">
            <v>20</v>
          </cell>
          <cell r="N852" t="str">
            <v/>
          </cell>
          <cell r="O852" t="str">
            <v>F</v>
          </cell>
          <cell r="S852">
            <v>-160504</v>
          </cell>
          <cell r="Y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</row>
        <row r="853">
          <cell r="I853" t="str">
            <v>7920</v>
          </cell>
          <cell r="K853" t="str">
            <v>20</v>
          </cell>
          <cell r="N853" t="str">
            <v/>
          </cell>
          <cell r="O853" t="str">
            <v>F</v>
          </cell>
          <cell r="S853">
            <v>35715654</v>
          </cell>
          <cell r="Y853">
            <v>0</v>
          </cell>
          <cell r="AB853">
            <v>12071163</v>
          </cell>
          <cell r="AC853">
            <v>3538188</v>
          </cell>
          <cell r="AD853">
            <v>4921030</v>
          </cell>
          <cell r="AE853">
            <v>8225934</v>
          </cell>
          <cell r="AF853">
            <v>0</v>
          </cell>
          <cell r="AG853">
            <v>498349</v>
          </cell>
          <cell r="AH853">
            <v>350496</v>
          </cell>
          <cell r="AI853">
            <v>169938</v>
          </cell>
          <cell r="AJ853">
            <v>0</v>
          </cell>
          <cell r="AK853">
            <v>0</v>
          </cell>
          <cell r="AL853">
            <v>0</v>
          </cell>
          <cell r="AM853">
            <v>330756</v>
          </cell>
          <cell r="AN853">
            <v>2348591</v>
          </cell>
          <cell r="AO853">
            <v>2353808</v>
          </cell>
          <cell r="AP853">
            <v>103581</v>
          </cell>
          <cell r="AQ853">
            <v>1548804</v>
          </cell>
          <cell r="AR853">
            <v>666487</v>
          </cell>
          <cell r="AS853">
            <v>10520</v>
          </cell>
          <cell r="AT853">
            <v>0</v>
          </cell>
          <cell r="AU853">
            <v>-170561</v>
          </cell>
          <cell r="AV853">
            <v>616409</v>
          </cell>
          <cell r="AW853">
            <v>415624</v>
          </cell>
          <cell r="AX853">
            <v>74082</v>
          </cell>
          <cell r="AY853">
            <v>0</v>
          </cell>
          <cell r="AZ853">
            <v>0</v>
          </cell>
        </row>
        <row r="854">
          <cell r="I854" t="str">
            <v>7920</v>
          </cell>
          <cell r="K854" t="str">
            <v>20</v>
          </cell>
          <cell r="N854" t="str">
            <v/>
          </cell>
          <cell r="O854" t="str">
            <v>F</v>
          </cell>
          <cell r="S854">
            <v>-1259960</v>
          </cell>
          <cell r="Y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</row>
        <row r="855">
          <cell r="I855" t="str">
            <v>7920</v>
          </cell>
          <cell r="K855" t="str">
            <v>20</v>
          </cell>
          <cell r="N855" t="str">
            <v/>
          </cell>
          <cell r="O855" t="str">
            <v>F</v>
          </cell>
          <cell r="S855">
            <v>17</v>
          </cell>
          <cell r="Y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</row>
        <row r="856">
          <cell r="I856" t="str">
            <v>7920</v>
          </cell>
          <cell r="K856" t="str">
            <v>20</v>
          </cell>
          <cell r="N856" t="str">
            <v/>
          </cell>
          <cell r="O856" t="str">
            <v>F</v>
          </cell>
          <cell r="S856">
            <v>274508480</v>
          </cell>
          <cell r="Y856">
            <v>0</v>
          </cell>
          <cell r="AB856">
            <v>85784241</v>
          </cell>
          <cell r="AC856">
            <v>27622945</v>
          </cell>
          <cell r="AD856">
            <v>37375715</v>
          </cell>
          <cell r="AE856">
            <v>64515066</v>
          </cell>
          <cell r="AF856">
            <v>0</v>
          </cell>
          <cell r="AG856">
            <v>2932619</v>
          </cell>
          <cell r="AH856">
            <v>2664378</v>
          </cell>
          <cell r="AI856">
            <v>1345736</v>
          </cell>
          <cell r="AJ856">
            <v>0</v>
          </cell>
          <cell r="AK856">
            <v>0</v>
          </cell>
          <cell r="AL856">
            <v>0</v>
          </cell>
          <cell r="AM856">
            <v>2830593</v>
          </cell>
          <cell r="AN856">
            <v>19061522</v>
          </cell>
          <cell r="AO856">
            <v>19598456</v>
          </cell>
          <cell r="AP856">
            <v>471818</v>
          </cell>
          <cell r="AQ856">
            <v>11414399</v>
          </cell>
          <cell r="AR856">
            <v>5278996</v>
          </cell>
          <cell r="AS856">
            <v>71217</v>
          </cell>
          <cell r="AT856">
            <v>0</v>
          </cell>
          <cell r="AU856">
            <v>-952808</v>
          </cell>
          <cell r="AV856">
            <v>5515014</v>
          </cell>
          <cell r="AW856">
            <v>3937592</v>
          </cell>
          <cell r="AX856">
            <v>630159</v>
          </cell>
          <cell r="AY856">
            <v>0</v>
          </cell>
          <cell r="AZ856">
            <v>0</v>
          </cell>
        </row>
        <row r="857">
          <cell r="I857" t="str">
            <v>7920</v>
          </cell>
          <cell r="K857" t="str">
            <v>10</v>
          </cell>
          <cell r="N857" t="str">
            <v>1</v>
          </cell>
          <cell r="O857" t="str">
            <v>D</v>
          </cell>
          <cell r="S857">
            <v>0</v>
          </cell>
          <cell r="Y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</row>
        <row r="858">
          <cell r="I858" t="str">
            <v>7920</v>
          </cell>
          <cell r="K858" t="str">
            <v>10</v>
          </cell>
          <cell r="N858" t="str">
            <v>1</v>
          </cell>
          <cell r="O858" t="str">
            <v>D</v>
          </cell>
          <cell r="S858">
            <v>0</v>
          </cell>
          <cell r="Y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</row>
        <row r="859">
          <cell r="I859" t="str">
            <v>7920</v>
          </cell>
          <cell r="K859" t="str">
            <v>10</v>
          </cell>
          <cell r="N859" t="str">
            <v>1</v>
          </cell>
          <cell r="O859" t="str">
            <v>D</v>
          </cell>
          <cell r="S859">
            <v>0</v>
          </cell>
          <cell r="Y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</row>
        <row r="860">
          <cell r="I860" t="str">
            <v>7920</v>
          </cell>
          <cell r="K860" t="str">
            <v>20</v>
          </cell>
          <cell r="N860" t="str">
            <v>1</v>
          </cell>
          <cell r="O860" t="str">
            <v>D</v>
          </cell>
          <cell r="S860">
            <v>0</v>
          </cell>
          <cell r="Y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</row>
        <row r="861">
          <cell r="I861" t="str">
            <v>7920</v>
          </cell>
          <cell r="K861" t="str">
            <v>20</v>
          </cell>
          <cell r="N861" t="str">
            <v>1</v>
          </cell>
          <cell r="O861" t="str">
            <v>D</v>
          </cell>
          <cell r="S861">
            <v>0</v>
          </cell>
          <cell r="Y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</row>
        <row r="862">
          <cell r="I862" t="str">
            <v>7920</v>
          </cell>
          <cell r="K862" t="str">
            <v>20</v>
          </cell>
          <cell r="N862" t="str">
            <v>1</v>
          </cell>
          <cell r="O862" t="str">
            <v>D</v>
          </cell>
          <cell r="S862">
            <v>0</v>
          </cell>
          <cell r="Y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</row>
        <row r="863">
          <cell r="I863" t="str">
            <v>7920</v>
          </cell>
          <cell r="K863" t="str">
            <v>10</v>
          </cell>
          <cell r="N863" t="str">
            <v/>
          </cell>
          <cell r="O863" t="str">
            <v>F</v>
          </cell>
          <cell r="S863">
            <v>4250555</v>
          </cell>
          <cell r="Y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</row>
        <row r="864">
          <cell r="I864" t="str">
            <v>7920</v>
          </cell>
          <cell r="K864" t="str">
            <v>10</v>
          </cell>
          <cell r="N864" t="str">
            <v/>
          </cell>
          <cell r="O864" t="str">
            <v>F</v>
          </cell>
          <cell r="S864">
            <v>64222970</v>
          </cell>
          <cell r="Y864">
            <v>0</v>
          </cell>
          <cell r="AB864">
            <v>26262401</v>
          </cell>
          <cell r="AC864">
            <v>11598969</v>
          </cell>
          <cell r="AD864">
            <v>4083042</v>
          </cell>
          <cell r="AE864">
            <v>0</v>
          </cell>
          <cell r="AF864">
            <v>0</v>
          </cell>
          <cell r="AG864">
            <v>1555192</v>
          </cell>
          <cell r="AH864">
            <v>0</v>
          </cell>
          <cell r="AI864">
            <v>388215</v>
          </cell>
          <cell r="AJ864">
            <v>0</v>
          </cell>
          <cell r="AK864">
            <v>0</v>
          </cell>
          <cell r="AL864">
            <v>0</v>
          </cell>
          <cell r="AM864">
            <v>872303</v>
          </cell>
          <cell r="AN864">
            <v>5638072</v>
          </cell>
          <cell r="AO864">
            <v>6424919</v>
          </cell>
          <cell r="AP864">
            <v>154597</v>
          </cell>
          <cell r="AQ864">
            <v>3704965</v>
          </cell>
          <cell r="AR864">
            <v>3147872</v>
          </cell>
          <cell r="AS864">
            <v>6027</v>
          </cell>
          <cell r="AT864">
            <v>0</v>
          </cell>
          <cell r="AU864">
            <v>-126649</v>
          </cell>
          <cell r="AV864">
            <v>2048220</v>
          </cell>
          <cell r="AW864">
            <v>4105850</v>
          </cell>
          <cell r="AX864">
            <v>0</v>
          </cell>
          <cell r="AY864">
            <v>0</v>
          </cell>
          <cell r="AZ864">
            <v>0</v>
          </cell>
        </row>
        <row r="865">
          <cell r="I865" t="str">
            <v>7920</v>
          </cell>
          <cell r="K865" t="str">
            <v>10</v>
          </cell>
          <cell r="N865" t="str">
            <v/>
          </cell>
          <cell r="O865" t="str">
            <v>F</v>
          </cell>
          <cell r="S865">
            <v>109649</v>
          </cell>
          <cell r="Y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</row>
        <row r="866">
          <cell r="I866" t="str">
            <v>7920</v>
          </cell>
          <cell r="K866" t="str">
            <v>10</v>
          </cell>
          <cell r="N866" t="str">
            <v/>
          </cell>
          <cell r="O866" t="str">
            <v>F</v>
          </cell>
          <cell r="S866">
            <v>6009148</v>
          </cell>
          <cell r="Y866">
            <v>0</v>
          </cell>
          <cell r="AB866">
            <v>3009262</v>
          </cell>
          <cell r="AC866">
            <v>513688</v>
          </cell>
          <cell r="AD866">
            <v>352685</v>
          </cell>
          <cell r="AE866">
            <v>0</v>
          </cell>
          <cell r="AF866">
            <v>0</v>
          </cell>
          <cell r="AG866">
            <v>89461</v>
          </cell>
          <cell r="AH866">
            <v>0</v>
          </cell>
          <cell r="AI866">
            <v>20620</v>
          </cell>
          <cell r="AJ866">
            <v>0</v>
          </cell>
          <cell r="AK866">
            <v>0</v>
          </cell>
          <cell r="AL866">
            <v>0</v>
          </cell>
          <cell r="AM866">
            <v>33706</v>
          </cell>
          <cell r="AN866">
            <v>534619</v>
          </cell>
          <cell r="AO866">
            <v>581368</v>
          </cell>
          <cell r="AP866">
            <v>46052</v>
          </cell>
          <cell r="AQ866">
            <v>461925</v>
          </cell>
          <cell r="AR866">
            <v>564168</v>
          </cell>
          <cell r="AS866">
            <v>161</v>
          </cell>
          <cell r="AT866">
            <v>0</v>
          </cell>
          <cell r="AU866">
            <v>-14225</v>
          </cell>
          <cell r="AV866">
            <v>273</v>
          </cell>
          <cell r="AW866">
            <v>330271</v>
          </cell>
          <cell r="AX866">
            <v>0</v>
          </cell>
          <cell r="AY866">
            <v>0</v>
          </cell>
          <cell r="AZ866">
            <v>0</v>
          </cell>
        </row>
        <row r="867">
          <cell r="I867" t="str">
            <v>7920</v>
          </cell>
          <cell r="K867" t="str">
            <v>10</v>
          </cell>
          <cell r="N867" t="str">
            <v/>
          </cell>
          <cell r="O867" t="str">
            <v>F</v>
          </cell>
          <cell r="S867">
            <v>-69204</v>
          </cell>
          <cell r="Y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</row>
        <row r="868">
          <cell r="I868" t="str">
            <v>7920</v>
          </cell>
          <cell r="K868" t="str">
            <v>10</v>
          </cell>
          <cell r="N868" t="str">
            <v/>
          </cell>
          <cell r="O868" t="str">
            <v>F</v>
          </cell>
          <cell r="S868">
            <v>25679853</v>
          </cell>
          <cell r="Y868">
            <v>0</v>
          </cell>
          <cell r="AB868">
            <v>12352608</v>
          </cell>
          <cell r="AC868">
            <v>0</v>
          </cell>
          <cell r="AD868">
            <v>7549432</v>
          </cell>
          <cell r="AE868">
            <v>0</v>
          </cell>
          <cell r="AF868">
            <v>0</v>
          </cell>
          <cell r="AG868">
            <v>1883772</v>
          </cell>
          <cell r="AH868">
            <v>0</v>
          </cell>
          <cell r="AI868">
            <v>110222</v>
          </cell>
          <cell r="AJ868">
            <v>0</v>
          </cell>
          <cell r="AK868">
            <v>0</v>
          </cell>
          <cell r="AL868">
            <v>0</v>
          </cell>
          <cell r="AM868">
            <v>481553</v>
          </cell>
          <cell r="AN868">
            <v>3111420</v>
          </cell>
          <cell r="AO868">
            <v>2947429</v>
          </cell>
          <cell r="AP868">
            <v>257763</v>
          </cell>
          <cell r="AQ868">
            <v>2245014</v>
          </cell>
          <cell r="AR868">
            <v>2432352</v>
          </cell>
          <cell r="AS868">
            <v>2136</v>
          </cell>
          <cell r="AT868">
            <v>0</v>
          </cell>
          <cell r="AU868">
            <v>-210051</v>
          </cell>
          <cell r="AV868">
            <v>356039</v>
          </cell>
          <cell r="AW868">
            <v>2856339</v>
          </cell>
          <cell r="AX868">
            <v>35949</v>
          </cell>
          <cell r="AY868">
            <v>0</v>
          </cell>
          <cell r="AZ868">
            <v>0</v>
          </cell>
        </row>
        <row r="869">
          <cell r="I869" t="str">
            <v>7920</v>
          </cell>
          <cell r="K869" t="str">
            <v>20</v>
          </cell>
          <cell r="N869" t="str">
            <v/>
          </cell>
          <cell r="O869" t="str">
            <v>F</v>
          </cell>
          <cell r="S869">
            <v>638296</v>
          </cell>
          <cell r="Y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</row>
        <row r="870">
          <cell r="I870" t="str">
            <v>7920</v>
          </cell>
          <cell r="K870" t="str">
            <v>20</v>
          </cell>
          <cell r="N870" t="str">
            <v/>
          </cell>
          <cell r="O870" t="str">
            <v>F</v>
          </cell>
          <cell r="S870">
            <v>10045375</v>
          </cell>
          <cell r="Y870">
            <v>0</v>
          </cell>
          <cell r="AB870">
            <v>4846226</v>
          </cell>
          <cell r="AC870">
            <v>1801689</v>
          </cell>
          <cell r="AD870">
            <v>635285</v>
          </cell>
          <cell r="AE870">
            <v>0</v>
          </cell>
          <cell r="AF870">
            <v>0</v>
          </cell>
          <cell r="AG870">
            <v>261419</v>
          </cell>
          <cell r="AH870">
            <v>0</v>
          </cell>
          <cell r="AI870">
            <v>60275</v>
          </cell>
          <cell r="AJ870">
            <v>0</v>
          </cell>
          <cell r="AK870">
            <v>0</v>
          </cell>
          <cell r="AL870">
            <v>0</v>
          </cell>
          <cell r="AM870">
            <v>122975</v>
          </cell>
          <cell r="AN870">
            <v>865710</v>
          </cell>
          <cell r="AO870">
            <v>914877</v>
          </cell>
          <cell r="AP870">
            <v>43974</v>
          </cell>
          <cell r="AQ870">
            <v>664864</v>
          </cell>
          <cell r="AR870">
            <v>610497</v>
          </cell>
          <cell r="AS870">
            <v>1095</v>
          </cell>
          <cell r="AT870">
            <v>0</v>
          </cell>
          <cell r="AU870">
            <v>-46907</v>
          </cell>
          <cell r="AV870">
            <v>291532</v>
          </cell>
          <cell r="AW870">
            <v>501606</v>
          </cell>
          <cell r="AX870">
            <v>0</v>
          </cell>
          <cell r="AY870">
            <v>0</v>
          </cell>
          <cell r="AZ870">
            <v>0</v>
          </cell>
        </row>
        <row r="871">
          <cell r="I871" t="str">
            <v>7920</v>
          </cell>
          <cell r="K871" t="str">
            <v>20</v>
          </cell>
          <cell r="N871" t="str">
            <v/>
          </cell>
          <cell r="O871" t="str">
            <v>F</v>
          </cell>
          <cell r="S871">
            <v>11487</v>
          </cell>
          <cell r="Y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</row>
        <row r="872">
          <cell r="I872" t="str">
            <v>7920</v>
          </cell>
          <cell r="K872" t="str">
            <v>20</v>
          </cell>
          <cell r="N872" t="str">
            <v/>
          </cell>
          <cell r="O872" t="str">
            <v>F</v>
          </cell>
          <cell r="S872">
            <v>127066</v>
          </cell>
          <cell r="Y872">
            <v>0</v>
          </cell>
          <cell r="AB872">
            <v>62447</v>
          </cell>
          <cell r="AC872">
            <v>10881</v>
          </cell>
          <cell r="AD872">
            <v>7935</v>
          </cell>
          <cell r="AE872">
            <v>0</v>
          </cell>
          <cell r="AF872">
            <v>0</v>
          </cell>
          <cell r="AG872">
            <v>1871</v>
          </cell>
          <cell r="AH872">
            <v>0</v>
          </cell>
          <cell r="AI872">
            <v>439</v>
          </cell>
          <cell r="AJ872">
            <v>0</v>
          </cell>
          <cell r="AK872">
            <v>0</v>
          </cell>
          <cell r="AL872">
            <v>0</v>
          </cell>
          <cell r="AM872">
            <v>716</v>
          </cell>
          <cell r="AN872">
            <v>10410</v>
          </cell>
          <cell r="AO872">
            <v>11412</v>
          </cell>
          <cell r="AP872">
            <v>930</v>
          </cell>
          <cell r="AQ872">
            <v>8930</v>
          </cell>
          <cell r="AR872">
            <v>11697</v>
          </cell>
          <cell r="AS872">
            <v>2</v>
          </cell>
          <cell r="AT872">
            <v>0</v>
          </cell>
          <cell r="AU872">
            <v>-58</v>
          </cell>
          <cell r="AV872">
            <v>7</v>
          </cell>
          <cell r="AW872">
            <v>6252</v>
          </cell>
          <cell r="AX872">
            <v>0</v>
          </cell>
          <cell r="AY872">
            <v>0</v>
          </cell>
          <cell r="AZ872">
            <v>0</v>
          </cell>
        </row>
        <row r="873">
          <cell r="I873" t="str">
            <v>7920</v>
          </cell>
          <cell r="K873" t="str">
            <v>20</v>
          </cell>
          <cell r="N873" t="str">
            <v/>
          </cell>
          <cell r="O873" t="str">
            <v>F</v>
          </cell>
          <cell r="S873">
            <v>-18504</v>
          </cell>
          <cell r="Y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</row>
        <row r="874">
          <cell r="I874" t="str">
            <v>7920</v>
          </cell>
          <cell r="K874" t="str">
            <v>20</v>
          </cell>
          <cell r="N874" t="str">
            <v/>
          </cell>
          <cell r="O874" t="str">
            <v>F</v>
          </cell>
          <cell r="S874">
            <v>6881626</v>
          </cell>
          <cell r="Y874">
            <v>0</v>
          </cell>
          <cell r="AB874">
            <v>3277703</v>
          </cell>
          <cell r="AC874">
            <v>0</v>
          </cell>
          <cell r="AD874">
            <v>2035338</v>
          </cell>
          <cell r="AE874">
            <v>0</v>
          </cell>
          <cell r="AF874">
            <v>0</v>
          </cell>
          <cell r="AG874">
            <v>507354</v>
          </cell>
          <cell r="AH874">
            <v>0</v>
          </cell>
          <cell r="AI874">
            <v>29706</v>
          </cell>
          <cell r="AJ874">
            <v>0</v>
          </cell>
          <cell r="AK874">
            <v>0</v>
          </cell>
          <cell r="AL874">
            <v>0</v>
          </cell>
          <cell r="AM874">
            <v>131151</v>
          </cell>
          <cell r="AN874">
            <v>852037</v>
          </cell>
          <cell r="AO874">
            <v>811936</v>
          </cell>
          <cell r="AP874">
            <v>66206</v>
          </cell>
          <cell r="AQ874">
            <v>605391</v>
          </cell>
          <cell r="AR874">
            <v>640809</v>
          </cell>
          <cell r="AS874">
            <v>577</v>
          </cell>
          <cell r="AT874">
            <v>0</v>
          </cell>
          <cell r="AU874">
            <v>-56382</v>
          </cell>
          <cell r="AV874">
            <v>96646</v>
          </cell>
          <cell r="AW874">
            <v>778111</v>
          </cell>
          <cell r="AX874">
            <v>10040</v>
          </cell>
          <cell r="AY874">
            <v>0</v>
          </cell>
          <cell r="AZ874">
            <v>0</v>
          </cell>
        </row>
        <row r="875">
          <cell r="I875" t="str">
            <v>7920</v>
          </cell>
          <cell r="K875" t="str">
            <v>10</v>
          </cell>
          <cell r="N875" t="str">
            <v>1</v>
          </cell>
          <cell r="O875" t="str">
            <v>D</v>
          </cell>
          <cell r="S875">
            <v>0</v>
          </cell>
          <cell r="Y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</row>
        <row r="876">
          <cell r="I876" t="str">
            <v>7920</v>
          </cell>
          <cell r="K876" t="str">
            <v>10</v>
          </cell>
          <cell r="N876" t="str">
            <v/>
          </cell>
          <cell r="O876" t="str">
            <v>F</v>
          </cell>
          <cell r="S876">
            <v>353735</v>
          </cell>
          <cell r="Y876">
            <v>0</v>
          </cell>
          <cell r="AB876">
            <v>297515</v>
          </cell>
          <cell r="AC876">
            <v>17948</v>
          </cell>
          <cell r="AD876">
            <v>80655</v>
          </cell>
          <cell r="AE876">
            <v>0</v>
          </cell>
          <cell r="AF876">
            <v>0</v>
          </cell>
          <cell r="AG876">
            <v>6619</v>
          </cell>
          <cell r="AH876">
            <v>8492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5074</v>
          </cell>
          <cell r="AN876">
            <v>13057</v>
          </cell>
          <cell r="AO876">
            <v>12158</v>
          </cell>
          <cell r="AP876">
            <v>8513</v>
          </cell>
          <cell r="AQ876">
            <v>14826</v>
          </cell>
          <cell r="AR876">
            <v>22909</v>
          </cell>
          <cell r="AS876">
            <v>0</v>
          </cell>
          <cell r="AT876">
            <v>0</v>
          </cell>
          <cell r="AU876">
            <v>0</v>
          </cell>
          <cell r="AV876">
            <v>1281524</v>
          </cell>
          <cell r="AW876">
            <v>14117</v>
          </cell>
          <cell r="AX876">
            <v>0</v>
          </cell>
          <cell r="AY876">
            <v>0</v>
          </cell>
          <cell r="AZ876">
            <v>0</v>
          </cell>
        </row>
        <row r="877">
          <cell r="I877" t="str">
            <v>7920</v>
          </cell>
          <cell r="K877" t="str">
            <v>10</v>
          </cell>
          <cell r="N877" t="str">
            <v>1</v>
          </cell>
          <cell r="O877" t="str">
            <v>D</v>
          </cell>
          <cell r="S877">
            <v>0</v>
          </cell>
          <cell r="Y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</row>
        <row r="878">
          <cell r="I878" t="str">
            <v>7920</v>
          </cell>
          <cell r="K878" t="str">
            <v>20</v>
          </cell>
          <cell r="N878" t="str">
            <v>1</v>
          </cell>
          <cell r="O878" t="str">
            <v>D</v>
          </cell>
          <cell r="S878">
            <v>0</v>
          </cell>
          <cell r="Y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</row>
        <row r="879">
          <cell r="I879" t="str">
            <v>7920</v>
          </cell>
          <cell r="K879" t="str">
            <v>10</v>
          </cell>
          <cell r="N879" t="str">
            <v/>
          </cell>
          <cell r="O879" t="str">
            <v>F</v>
          </cell>
          <cell r="S879">
            <v>-11235</v>
          </cell>
          <cell r="Y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</row>
        <row r="880">
          <cell r="I880" t="str">
            <v>7920</v>
          </cell>
          <cell r="K880" t="str">
            <v>10</v>
          </cell>
          <cell r="N880" t="str">
            <v/>
          </cell>
          <cell r="O880" t="str">
            <v>F</v>
          </cell>
          <cell r="S880">
            <v>2091225</v>
          </cell>
          <cell r="Y880">
            <v>0</v>
          </cell>
          <cell r="AB880">
            <v>765239</v>
          </cell>
          <cell r="AC880">
            <v>0</v>
          </cell>
          <cell r="AD880">
            <v>251378</v>
          </cell>
          <cell r="AE880">
            <v>0</v>
          </cell>
          <cell r="AF880">
            <v>0</v>
          </cell>
          <cell r="AG880">
            <v>7298</v>
          </cell>
          <cell r="AH880">
            <v>72440</v>
          </cell>
          <cell r="AI880">
            <v>3432</v>
          </cell>
          <cell r="AJ880">
            <v>0</v>
          </cell>
          <cell r="AK880">
            <v>0</v>
          </cell>
          <cell r="AL880">
            <v>0</v>
          </cell>
          <cell r="AM880">
            <v>54476</v>
          </cell>
          <cell r="AN880">
            <v>329363</v>
          </cell>
          <cell r="AO880">
            <v>260438</v>
          </cell>
          <cell r="AP880">
            <v>19046</v>
          </cell>
          <cell r="AQ880">
            <v>283397</v>
          </cell>
          <cell r="AR880">
            <v>242902</v>
          </cell>
          <cell r="AS880">
            <v>52</v>
          </cell>
          <cell r="AT880">
            <v>0</v>
          </cell>
          <cell r="AU880">
            <v>-9591</v>
          </cell>
          <cell r="AV880">
            <v>0</v>
          </cell>
          <cell r="AW880">
            <v>98220</v>
          </cell>
          <cell r="AX880">
            <v>169</v>
          </cell>
          <cell r="AY880">
            <v>0</v>
          </cell>
          <cell r="AZ880">
            <v>0</v>
          </cell>
        </row>
        <row r="881">
          <cell r="I881" t="str">
            <v>7920</v>
          </cell>
          <cell r="K881" t="str">
            <v>20</v>
          </cell>
          <cell r="N881" t="str">
            <v/>
          </cell>
          <cell r="O881" t="str">
            <v>F</v>
          </cell>
          <cell r="S881">
            <v>-2247</v>
          </cell>
          <cell r="Y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</row>
        <row r="882">
          <cell r="I882" t="str">
            <v>7920</v>
          </cell>
          <cell r="K882" t="str">
            <v>20</v>
          </cell>
          <cell r="N882" t="str">
            <v/>
          </cell>
          <cell r="O882" t="str">
            <v>F</v>
          </cell>
          <cell r="S882">
            <v>418245</v>
          </cell>
          <cell r="Y882">
            <v>0</v>
          </cell>
          <cell r="AB882">
            <v>153048</v>
          </cell>
          <cell r="AC882">
            <v>0</v>
          </cell>
          <cell r="AD882">
            <v>50276</v>
          </cell>
          <cell r="AE882">
            <v>0</v>
          </cell>
          <cell r="AF882">
            <v>0</v>
          </cell>
          <cell r="AG882">
            <v>1461</v>
          </cell>
          <cell r="AH882">
            <v>14488</v>
          </cell>
          <cell r="AI882">
            <v>687</v>
          </cell>
          <cell r="AJ882">
            <v>0</v>
          </cell>
          <cell r="AK882">
            <v>0</v>
          </cell>
          <cell r="AL882">
            <v>0</v>
          </cell>
          <cell r="AM882">
            <v>10896</v>
          </cell>
          <cell r="AN882">
            <v>65873</v>
          </cell>
          <cell r="AO882">
            <v>52087</v>
          </cell>
          <cell r="AP882">
            <v>3809</v>
          </cell>
          <cell r="AQ882">
            <v>56679</v>
          </cell>
          <cell r="AR882">
            <v>48580</v>
          </cell>
          <cell r="AS882">
            <v>11</v>
          </cell>
          <cell r="AT882">
            <v>0</v>
          </cell>
          <cell r="AU882">
            <v>-1919</v>
          </cell>
          <cell r="AV882">
            <v>0</v>
          </cell>
          <cell r="AW882">
            <v>19644</v>
          </cell>
          <cell r="AX882">
            <v>35</v>
          </cell>
          <cell r="AY882">
            <v>0</v>
          </cell>
          <cell r="AZ882">
            <v>0</v>
          </cell>
        </row>
        <row r="883">
          <cell r="I883" t="str">
            <v>3100</v>
          </cell>
          <cell r="K883" t="str">
            <v>10</v>
          </cell>
          <cell r="N883" t="str">
            <v>1</v>
          </cell>
          <cell r="O883" t="str">
            <v>D</v>
          </cell>
          <cell r="S883">
            <v>0</v>
          </cell>
          <cell r="Y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</row>
        <row r="884">
          <cell r="I884" t="str">
            <v>3100</v>
          </cell>
          <cell r="K884" t="str">
            <v>20</v>
          </cell>
          <cell r="N884" t="str">
            <v>1</v>
          </cell>
          <cell r="O884" t="str">
            <v>D</v>
          </cell>
          <cell r="S884">
            <v>0</v>
          </cell>
          <cell r="Y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</row>
        <row r="885">
          <cell r="I885" t="str">
            <v>7920</v>
          </cell>
          <cell r="K885" t="str">
            <v>10</v>
          </cell>
          <cell r="N885" t="str">
            <v>1</v>
          </cell>
          <cell r="O885" t="str">
            <v>D</v>
          </cell>
          <cell r="S885">
            <v>0</v>
          </cell>
          <cell r="Y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</row>
        <row r="886">
          <cell r="I886" t="str">
            <v>7920</v>
          </cell>
          <cell r="K886" t="str">
            <v>20</v>
          </cell>
          <cell r="N886" t="str">
            <v>1</v>
          </cell>
          <cell r="O886" t="str">
            <v>D</v>
          </cell>
          <cell r="S886">
            <v>0</v>
          </cell>
          <cell r="Y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</row>
        <row r="887">
          <cell r="I887" t="str">
            <v>7920</v>
          </cell>
          <cell r="K887" t="str">
            <v>20</v>
          </cell>
          <cell r="N887" t="str">
            <v>1</v>
          </cell>
          <cell r="O887" t="str">
            <v>D</v>
          </cell>
          <cell r="S887">
            <v>0</v>
          </cell>
          <cell r="Y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</row>
        <row r="888">
          <cell r="I888" t="str">
            <v>3100</v>
          </cell>
          <cell r="K888" t="str">
            <v>10</v>
          </cell>
          <cell r="N888" t="str">
            <v/>
          </cell>
          <cell r="O888" t="str">
            <v>F</v>
          </cell>
          <cell r="S888">
            <v>-13444</v>
          </cell>
          <cell r="Y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</row>
        <row r="889">
          <cell r="I889" t="str">
            <v>3100</v>
          </cell>
          <cell r="K889" t="str">
            <v>10</v>
          </cell>
          <cell r="N889" t="str">
            <v/>
          </cell>
          <cell r="O889" t="str">
            <v>F</v>
          </cell>
          <cell r="S889">
            <v>140352</v>
          </cell>
          <cell r="Y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</row>
        <row r="890">
          <cell r="I890" t="str">
            <v>3100</v>
          </cell>
          <cell r="K890" t="str">
            <v>10</v>
          </cell>
          <cell r="N890" t="str">
            <v/>
          </cell>
          <cell r="O890" t="str">
            <v>F</v>
          </cell>
          <cell r="S890">
            <v>2366144</v>
          </cell>
          <cell r="Y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1537520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</row>
        <row r="891">
          <cell r="I891" t="str">
            <v>3100</v>
          </cell>
          <cell r="K891" t="str">
            <v>20</v>
          </cell>
          <cell r="N891" t="str">
            <v/>
          </cell>
          <cell r="O891" t="str">
            <v>F</v>
          </cell>
          <cell r="S891">
            <v>-36888</v>
          </cell>
          <cell r="Y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</row>
        <row r="892">
          <cell r="I892" t="str">
            <v>3100</v>
          </cell>
          <cell r="K892" t="str">
            <v>20</v>
          </cell>
          <cell r="N892" t="str">
            <v/>
          </cell>
          <cell r="O892" t="str">
            <v>F</v>
          </cell>
          <cell r="S892">
            <v>8593024</v>
          </cell>
          <cell r="Y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5583755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</row>
        <row r="893">
          <cell r="I893" t="str">
            <v>7920</v>
          </cell>
          <cell r="K893" t="str">
            <v>10</v>
          </cell>
          <cell r="N893" t="str">
            <v/>
          </cell>
          <cell r="O893" t="str">
            <v>F</v>
          </cell>
          <cell r="S893">
            <v>-369134</v>
          </cell>
          <cell r="Y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</row>
        <row r="894">
          <cell r="I894" t="str">
            <v>7920</v>
          </cell>
          <cell r="K894" t="str">
            <v>10</v>
          </cell>
          <cell r="N894" t="str">
            <v/>
          </cell>
          <cell r="O894" t="str">
            <v>F</v>
          </cell>
          <cell r="S894">
            <v>70489618</v>
          </cell>
          <cell r="Y894">
            <v>0</v>
          </cell>
          <cell r="AB894">
            <v>0</v>
          </cell>
          <cell r="AC894">
            <v>0</v>
          </cell>
          <cell r="AD894">
            <v>41212134</v>
          </cell>
          <cell r="AE894">
            <v>0</v>
          </cell>
          <cell r="AF894">
            <v>0</v>
          </cell>
          <cell r="AG894">
            <v>336368</v>
          </cell>
          <cell r="AH894">
            <v>0</v>
          </cell>
          <cell r="AI894">
            <v>138887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5994021</v>
          </cell>
          <cell r="AO894">
            <v>8297014</v>
          </cell>
          <cell r="AP894">
            <v>0</v>
          </cell>
          <cell r="AQ894">
            <v>3585202</v>
          </cell>
          <cell r="AR894">
            <v>2470171</v>
          </cell>
          <cell r="AS894">
            <v>915</v>
          </cell>
          <cell r="AT894">
            <v>0</v>
          </cell>
          <cell r="AU894">
            <v>-22226</v>
          </cell>
          <cell r="AV894">
            <v>5005634</v>
          </cell>
          <cell r="AW894">
            <v>4637340</v>
          </cell>
          <cell r="AX894">
            <v>0</v>
          </cell>
          <cell r="AY894">
            <v>0</v>
          </cell>
          <cell r="AZ894">
            <v>0</v>
          </cell>
        </row>
        <row r="895">
          <cell r="I895" t="str">
            <v>7920</v>
          </cell>
          <cell r="K895" t="str">
            <v>20</v>
          </cell>
          <cell r="N895" t="str">
            <v/>
          </cell>
          <cell r="O895" t="str">
            <v>F</v>
          </cell>
          <cell r="S895">
            <v>-1009622</v>
          </cell>
          <cell r="Y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</row>
        <row r="896">
          <cell r="I896" t="str">
            <v>7920</v>
          </cell>
          <cell r="K896" t="str">
            <v>20</v>
          </cell>
          <cell r="N896" t="str">
            <v/>
          </cell>
          <cell r="O896" t="str">
            <v>F</v>
          </cell>
          <cell r="S896">
            <v>253309031</v>
          </cell>
          <cell r="Y896">
            <v>0</v>
          </cell>
          <cell r="AB896">
            <v>0</v>
          </cell>
          <cell r="AC896">
            <v>0</v>
          </cell>
          <cell r="AD896">
            <v>148907259</v>
          </cell>
          <cell r="AE896">
            <v>0</v>
          </cell>
          <cell r="AF896">
            <v>0</v>
          </cell>
          <cell r="AG896">
            <v>1223939</v>
          </cell>
          <cell r="AH896">
            <v>0</v>
          </cell>
          <cell r="AI896">
            <v>75606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21621042</v>
          </cell>
          <cell r="AO896">
            <v>29961544</v>
          </cell>
          <cell r="AP896">
            <v>0</v>
          </cell>
          <cell r="AQ896">
            <v>12909289</v>
          </cell>
          <cell r="AR896">
            <v>8988862</v>
          </cell>
          <cell r="AS896">
            <v>3229</v>
          </cell>
          <cell r="AT896">
            <v>0</v>
          </cell>
          <cell r="AU896">
            <v>-53800</v>
          </cell>
          <cell r="AV896">
            <v>18051896</v>
          </cell>
          <cell r="AW896">
            <v>16823657</v>
          </cell>
          <cell r="AX896">
            <v>0</v>
          </cell>
          <cell r="AY896">
            <v>0</v>
          </cell>
          <cell r="AZ896">
            <v>0</v>
          </cell>
        </row>
        <row r="897">
          <cell r="I897" t="str">
            <v>7920</v>
          </cell>
          <cell r="K897" t="str">
            <v>20</v>
          </cell>
          <cell r="N897" t="str">
            <v/>
          </cell>
          <cell r="O897" t="str">
            <v>F</v>
          </cell>
          <cell r="S897">
            <v>-31359</v>
          </cell>
          <cell r="Y897">
            <v>0</v>
          </cell>
          <cell r="AB897">
            <v>0</v>
          </cell>
          <cell r="AC897">
            <v>0</v>
          </cell>
          <cell r="AD897">
            <v>-18292</v>
          </cell>
          <cell r="AE897">
            <v>0</v>
          </cell>
          <cell r="AF897">
            <v>0</v>
          </cell>
          <cell r="AG897">
            <v>-154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-2679</v>
          </cell>
          <cell r="AO897">
            <v>-3713</v>
          </cell>
          <cell r="AP897">
            <v>0</v>
          </cell>
          <cell r="AQ897">
            <v>-1582</v>
          </cell>
          <cell r="AR897">
            <v>-1101</v>
          </cell>
          <cell r="AS897">
            <v>-6</v>
          </cell>
          <cell r="AT897">
            <v>0</v>
          </cell>
          <cell r="AU897">
            <v>0</v>
          </cell>
          <cell r="AV897">
            <v>-2207</v>
          </cell>
          <cell r="AW897">
            <v>-2077</v>
          </cell>
          <cell r="AX897">
            <v>0</v>
          </cell>
          <cell r="AY897">
            <v>0</v>
          </cell>
          <cell r="AZ897">
            <v>0</v>
          </cell>
        </row>
        <row r="898">
          <cell r="I898" t="str">
            <v>7920</v>
          </cell>
          <cell r="K898" t="str">
            <v>20</v>
          </cell>
          <cell r="N898" t="str">
            <v/>
          </cell>
          <cell r="O898" t="str">
            <v>F</v>
          </cell>
          <cell r="S898">
            <v>-58824</v>
          </cell>
          <cell r="Y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</row>
        <row r="899">
          <cell r="I899" t="str">
            <v>7920</v>
          </cell>
          <cell r="K899" t="str">
            <v>20</v>
          </cell>
          <cell r="N899" t="str">
            <v/>
          </cell>
          <cell r="O899" t="str">
            <v>F</v>
          </cell>
          <cell r="S899">
            <v>11441784</v>
          </cell>
          <cell r="Y899">
            <v>0</v>
          </cell>
          <cell r="AB899">
            <v>0</v>
          </cell>
          <cell r="AC899">
            <v>0</v>
          </cell>
          <cell r="AD899">
            <v>6529386</v>
          </cell>
          <cell r="AE899">
            <v>0</v>
          </cell>
          <cell r="AF899">
            <v>0</v>
          </cell>
          <cell r="AG899">
            <v>51094</v>
          </cell>
          <cell r="AH899">
            <v>0</v>
          </cell>
          <cell r="AI899">
            <v>31085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946245</v>
          </cell>
          <cell r="AO899">
            <v>1266722</v>
          </cell>
          <cell r="AP899">
            <v>0</v>
          </cell>
          <cell r="AQ899">
            <v>602375</v>
          </cell>
          <cell r="AR899">
            <v>365444</v>
          </cell>
          <cell r="AS899">
            <v>3335</v>
          </cell>
          <cell r="AT899">
            <v>0</v>
          </cell>
          <cell r="AU899">
            <v>-121392</v>
          </cell>
          <cell r="AV899">
            <v>0</v>
          </cell>
          <cell r="AW899">
            <v>630931</v>
          </cell>
          <cell r="AX899">
            <v>0</v>
          </cell>
          <cell r="AY899">
            <v>0</v>
          </cell>
          <cell r="AZ899">
            <v>0</v>
          </cell>
        </row>
        <row r="900">
          <cell r="I900" t="str">
            <v>3100</v>
          </cell>
          <cell r="K900" t="str">
            <v>10</v>
          </cell>
          <cell r="N900" t="str">
            <v>1</v>
          </cell>
          <cell r="O900" t="str">
            <v>D</v>
          </cell>
          <cell r="S900">
            <v>0</v>
          </cell>
          <cell r="Y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</row>
        <row r="901">
          <cell r="I901" t="str">
            <v>3100</v>
          </cell>
          <cell r="K901" t="str">
            <v>10</v>
          </cell>
          <cell r="N901" t="str">
            <v>1</v>
          </cell>
          <cell r="O901" t="str">
            <v>D</v>
          </cell>
          <cell r="S901">
            <v>0</v>
          </cell>
          <cell r="Y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</row>
        <row r="902">
          <cell r="I902" t="str">
            <v>7920</v>
          </cell>
          <cell r="K902" t="str">
            <v>10</v>
          </cell>
          <cell r="N902" t="str">
            <v>1</v>
          </cell>
          <cell r="O902" t="str">
            <v>D</v>
          </cell>
          <cell r="S902">
            <v>0</v>
          </cell>
          <cell r="Y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</row>
        <row r="903">
          <cell r="I903" t="str">
            <v>7920</v>
          </cell>
          <cell r="K903" t="str">
            <v>10</v>
          </cell>
          <cell r="N903" t="str">
            <v>1</v>
          </cell>
          <cell r="O903" t="str">
            <v>D</v>
          </cell>
          <cell r="S903">
            <v>0</v>
          </cell>
          <cell r="Y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</row>
        <row r="904">
          <cell r="I904" t="str">
            <v>7920</v>
          </cell>
          <cell r="K904" t="str">
            <v>10</v>
          </cell>
          <cell r="N904" t="str">
            <v>1</v>
          </cell>
          <cell r="O904" t="str">
            <v>D</v>
          </cell>
          <cell r="S904">
            <v>0</v>
          </cell>
          <cell r="Y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</row>
        <row r="905">
          <cell r="I905" t="str">
            <v>3100</v>
          </cell>
          <cell r="K905" t="str">
            <v>10</v>
          </cell>
          <cell r="N905" t="str">
            <v/>
          </cell>
          <cell r="O905" t="str">
            <v>F</v>
          </cell>
          <cell r="S905">
            <v>13935</v>
          </cell>
          <cell r="Y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5235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</row>
        <row r="906">
          <cell r="I906" t="str">
            <v>3100</v>
          </cell>
          <cell r="K906" t="str">
            <v>10</v>
          </cell>
          <cell r="N906" t="str">
            <v/>
          </cell>
          <cell r="O906" t="str">
            <v>F</v>
          </cell>
          <cell r="S906">
            <v>1630</v>
          </cell>
          <cell r="Y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1260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</row>
        <row r="907">
          <cell r="I907" t="str">
            <v>7920</v>
          </cell>
          <cell r="K907" t="str">
            <v>10</v>
          </cell>
          <cell r="N907" t="str">
            <v/>
          </cell>
          <cell r="O907" t="str">
            <v>F</v>
          </cell>
          <cell r="S907">
            <v>7950</v>
          </cell>
          <cell r="Y907">
            <v>0</v>
          </cell>
          <cell r="AB907">
            <v>0</v>
          </cell>
          <cell r="AC907">
            <v>0</v>
          </cell>
          <cell r="AD907">
            <v>1880</v>
          </cell>
          <cell r="AE907">
            <v>0</v>
          </cell>
          <cell r="AF907">
            <v>0</v>
          </cell>
          <cell r="AG907">
            <v>2862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3180</v>
          </cell>
          <cell r="AO907">
            <v>4729</v>
          </cell>
          <cell r="AP907">
            <v>0</v>
          </cell>
          <cell r="AQ907">
            <v>1856</v>
          </cell>
          <cell r="AR907">
            <v>42075</v>
          </cell>
          <cell r="AS907">
            <v>0</v>
          </cell>
          <cell r="AT907">
            <v>0</v>
          </cell>
          <cell r="AU907">
            <v>0</v>
          </cell>
          <cell r="AV907">
            <v>17910</v>
          </cell>
          <cell r="AW907">
            <v>7135</v>
          </cell>
          <cell r="AX907">
            <v>0</v>
          </cell>
          <cell r="AY907">
            <v>0</v>
          </cell>
          <cell r="AZ907">
            <v>0</v>
          </cell>
        </row>
        <row r="908">
          <cell r="I908" t="str">
            <v>7920</v>
          </cell>
          <cell r="K908" t="str">
            <v>10</v>
          </cell>
          <cell r="N908" t="str">
            <v/>
          </cell>
          <cell r="O908" t="str">
            <v>F</v>
          </cell>
          <cell r="S908">
            <v>19364</v>
          </cell>
          <cell r="Y908">
            <v>0</v>
          </cell>
          <cell r="AB908">
            <v>18233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60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859</v>
          </cell>
          <cell r="AN908">
            <v>2152</v>
          </cell>
          <cell r="AO908">
            <v>1123</v>
          </cell>
          <cell r="AP908">
            <v>21</v>
          </cell>
          <cell r="AQ908">
            <v>1013</v>
          </cell>
          <cell r="AR908">
            <v>10181</v>
          </cell>
          <cell r="AS908">
            <v>0</v>
          </cell>
          <cell r="AT908">
            <v>0</v>
          </cell>
          <cell r="AU908">
            <v>-77</v>
          </cell>
          <cell r="AV908">
            <v>582</v>
          </cell>
          <cell r="AW908">
            <v>1778</v>
          </cell>
          <cell r="AX908">
            <v>229</v>
          </cell>
          <cell r="AY908">
            <v>0</v>
          </cell>
          <cell r="AZ908">
            <v>0</v>
          </cell>
        </row>
        <row r="909">
          <cell r="I909" t="str">
            <v>7920</v>
          </cell>
          <cell r="K909" t="str">
            <v>10</v>
          </cell>
          <cell r="N909" t="str">
            <v/>
          </cell>
          <cell r="O909" t="str">
            <v>F</v>
          </cell>
          <cell r="S909">
            <v>673597</v>
          </cell>
          <cell r="Y909">
            <v>0</v>
          </cell>
          <cell r="AB909">
            <v>133359</v>
          </cell>
          <cell r="AC909">
            <v>31356</v>
          </cell>
          <cell r="AD909">
            <v>138098</v>
          </cell>
          <cell r="AE909">
            <v>121809</v>
          </cell>
          <cell r="AF909">
            <v>0</v>
          </cell>
          <cell r="AG909">
            <v>35721</v>
          </cell>
          <cell r="AH909">
            <v>2193</v>
          </cell>
          <cell r="AI909">
            <v>807</v>
          </cell>
          <cell r="AJ909">
            <v>0</v>
          </cell>
          <cell r="AK909">
            <v>0</v>
          </cell>
          <cell r="AL909">
            <v>0</v>
          </cell>
          <cell r="AM909">
            <v>5895</v>
          </cell>
          <cell r="AN909">
            <v>43985</v>
          </cell>
          <cell r="AO909">
            <v>52956</v>
          </cell>
          <cell r="AP909">
            <v>310</v>
          </cell>
          <cell r="AQ909">
            <v>25651</v>
          </cell>
          <cell r="AR909">
            <v>83366</v>
          </cell>
          <cell r="AS909">
            <v>27</v>
          </cell>
          <cell r="AT909">
            <v>0</v>
          </cell>
          <cell r="AU909">
            <v>-650</v>
          </cell>
          <cell r="AV909">
            <v>649</v>
          </cell>
          <cell r="AW909">
            <v>15121</v>
          </cell>
          <cell r="AX909">
            <v>1040</v>
          </cell>
          <cell r="AY909">
            <v>0</v>
          </cell>
          <cell r="AZ909">
            <v>0</v>
          </cell>
        </row>
        <row r="910">
          <cell r="I910" t="str">
            <v>3100</v>
          </cell>
          <cell r="K910" t="str">
            <v>10</v>
          </cell>
          <cell r="N910" t="str">
            <v>1</v>
          </cell>
          <cell r="O910" t="str">
            <v>D</v>
          </cell>
          <cell r="S910">
            <v>0</v>
          </cell>
          <cell r="Y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</row>
        <row r="911">
          <cell r="I911" t="str">
            <v>7920</v>
          </cell>
          <cell r="K911" t="str">
            <v>10</v>
          </cell>
          <cell r="N911" t="str">
            <v>1</v>
          </cell>
          <cell r="O911" t="str">
            <v>D</v>
          </cell>
          <cell r="S911">
            <v>0</v>
          </cell>
          <cell r="Y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</row>
        <row r="912">
          <cell r="I912" t="str">
            <v>7920</v>
          </cell>
          <cell r="K912" t="str">
            <v>10</v>
          </cell>
          <cell r="N912" t="str">
            <v>1</v>
          </cell>
          <cell r="O912" t="str">
            <v>D</v>
          </cell>
          <cell r="S912">
            <v>0</v>
          </cell>
          <cell r="Y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</row>
        <row r="913">
          <cell r="I913" t="str">
            <v>7920</v>
          </cell>
          <cell r="K913" t="str">
            <v>10</v>
          </cell>
          <cell r="N913" t="str">
            <v>1</v>
          </cell>
          <cell r="O913" t="str">
            <v>D</v>
          </cell>
          <cell r="S913">
            <v>0</v>
          </cell>
          <cell r="Y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</row>
        <row r="914">
          <cell r="I914" t="str">
            <v>7920</v>
          </cell>
          <cell r="K914" t="str">
            <v>10</v>
          </cell>
          <cell r="N914" t="str">
            <v>1</v>
          </cell>
          <cell r="O914" t="str">
            <v>D</v>
          </cell>
          <cell r="S914">
            <v>0</v>
          </cell>
          <cell r="Y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</row>
        <row r="915">
          <cell r="I915" t="str">
            <v>7920</v>
          </cell>
          <cell r="K915" t="str">
            <v>10</v>
          </cell>
          <cell r="N915" t="str">
            <v>1</v>
          </cell>
          <cell r="O915" t="str">
            <v>D</v>
          </cell>
          <cell r="S915">
            <v>0</v>
          </cell>
          <cell r="Y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</row>
        <row r="916">
          <cell r="I916" t="str">
            <v>7920</v>
          </cell>
          <cell r="K916" t="str">
            <v>10</v>
          </cell>
          <cell r="N916" t="str">
            <v>1</v>
          </cell>
          <cell r="O916" t="str">
            <v>D</v>
          </cell>
          <cell r="S916">
            <v>0</v>
          </cell>
          <cell r="Y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</row>
        <row r="917">
          <cell r="I917" t="str">
            <v>7920</v>
          </cell>
          <cell r="K917" t="str">
            <v>20</v>
          </cell>
          <cell r="N917" t="str">
            <v>1</v>
          </cell>
          <cell r="O917" t="str">
            <v>D</v>
          </cell>
          <cell r="S917">
            <v>0</v>
          </cell>
          <cell r="Y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</row>
        <row r="918">
          <cell r="I918" t="str">
            <v>7920</v>
          </cell>
          <cell r="K918" t="str">
            <v>20</v>
          </cell>
          <cell r="N918" t="str">
            <v>1</v>
          </cell>
          <cell r="O918" t="str">
            <v>D</v>
          </cell>
          <cell r="S918">
            <v>0</v>
          </cell>
          <cell r="Y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</row>
        <row r="919">
          <cell r="I919" t="str">
            <v>7920</v>
          </cell>
          <cell r="K919" t="str">
            <v>20</v>
          </cell>
          <cell r="N919" t="str">
            <v>1</v>
          </cell>
          <cell r="O919" t="str">
            <v>D</v>
          </cell>
          <cell r="S919">
            <v>0</v>
          </cell>
          <cell r="Y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</row>
        <row r="920">
          <cell r="I920" t="str">
            <v>7920</v>
          </cell>
          <cell r="K920" t="str">
            <v>20</v>
          </cell>
          <cell r="N920" t="str">
            <v>1</v>
          </cell>
          <cell r="O920" t="str">
            <v>D</v>
          </cell>
          <cell r="S920">
            <v>0</v>
          </cell>
          <cell r="Y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</row>
        <row r="921">
          <cell r="I921" t="str">
            <v>7920</v>
          </cell>
          <cell r="K921" t="str">
            <v>20</v>
          </cell>
          <cell r="N921" t="str">
            <v>1</v>
          </cell>
          <cell r="O921" t="str">
            <v>D</v>
          </cell>
          <cell r="S921">
            <v>0</v>
          </cell>
          <cell r="Y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</row>
        <row r="922">
          <cell r="I922" t="str">
            <v>7920</v>
          </cell>
          <cell r="K922" t="str">
            <v>20</v>
          </cell>
          <cell r="N922" t="str">
            <v>1</v>
          </cell>
          <cell r="O922" t="str">
            <v>D</v>
          </cell>
          <cell r="S922">
            <v>0</v>
          </cell>
          <cell r="Y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</row>
        <row r="923">
          <cell r="I923" t="str">
            <v>7920</v>
          </cell>
          <cell r="K923" t="str">
            <v>20</v>
          </cell>
          <cell r="N923" t="str">
            <v>1</v>
          </cell>
          <cell r="O923" t="str">
            <v>D</v>
          </cell>
          <cell r="S923">
            <v>0</v>
          </cell>
          <cell r="Y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</row>
        <row r="924">
          <cell r="I924" t="str">
            <v>3100</v>
          </cell>
          <cell r="K924" t="str">
            <v>10</v>
          </cell>
          <cell r="N924" t="str">
            <v/>
          </cell>
          <cell r="O924" t="str">
            <v>F</v>
          </cell>
          <cell r="S924">
            <v>12020</v>
          </cell>
          <cell r="Y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5740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</row>
        <row r="925">
          <cell r="I925" t="str">
            <v>7920</v>
          </cell>
          <cell r="K925" t="str">
            <v>10</v>
          </cell>
          <cell r="N925" t="str">
            <v/>
          </cell>
          <cell r="O925" t="str">
            <v>F</v>
          </cell>
          <cell r="S925">
            <v>-1266113</v>
          </cell>
          <cell r="Y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</row>
        <row r="926">
          <cell r="I926" t="str">
            <v>7920</v>
          </cell>
          <cell r="K926" t="str">
            <v>10</v>
          </cell>
          <cell r="N926" t="str">
            <v/>
          </cell>
          <cell r="O926" t="str">
            <v>F</v>
          </cell>
          <cell r="S926">
            <v>588149775</v>
          </cell>
          <cell r="Y926">
            <v>0</v>
          </cell>
          <cell r="AB926">
            <v>78140238</v>
          </cell>
          <cell r="AC926">
            <v>66322964</v>
          </cell>
          <cell r="AD926">
            <v>97489849</v>
          </cell>
          <cell r="AE926">
            <v>219434876</v>
          </cell>
          <cell r="AF926">
            <v>0</v>
          </cell>
          <cell r="AG926">
            <v>2466976</v>
          </cell>
          <cell r="AH926">
            <v>14501202</v>
          </cell>
          <cell r="AI926">
            <v>1047715</v>
          </cell>
          <cell r="AJ926">
            <v>0</v>
          </cell>
          <cell r="AK926">
            <v>0</v>
          </cell>
          <cell r="AL926">
            <v>0</v>
          </cell>
          <cell r="AM926">
            <v>6044782</v>
          </cell>
          <cell r="AN926">
            <v>33349043</v>
          </cell>
          <cell r="AO926">
            <v>32338984</v>
          </cell>
          <cell r="AP926">
            <v>2614827</v>
          </cell>
          <cell r="AQ926">
            <v>21466488</v>
          </cell>
          <cell r="AR926">
            <v>11274014</v>
          </cell>
          <cell r="AS926">
            <v>14276</v>
          </cell>
          <cell r="AT926">
            <v>0</v>
          </cell>
          <cell r="AU926">
            <v>-928940</v>
          </cell>
          <cell r="AV926">
            <v>5336919</v>
          </cell>
          <cell r="AW926">
            <v>5824504</v>
          </cell>
          <cell r="AX926">
            <v>302672</v>
          </cell>
          <cell r="AY926">
            <v>2951</v>
          </cell>
          <cell r="AZ926">
            <v>0</v>
          </cell>
        </row>
        <row r="927">
          <cell r="I927" t="str">
            <v>7920</v>
          </cell>
          <cell r="K927" t="str">
            <v>10</v>
          </cell>
          <cell r="N927" t="str">
            <v/>
          </cell>
          <cell r="O927" t="str">
            <v>F</v>
          </cell>
          <cell r="S927">
            <v>-689943</v>
          </cell>
          <cell r="Y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</row>
        <row r="928">
          <cell r="I928" t="str">
            <v>7920</v>
          </cell>
          <cell r="K928" t="str">
            <v>10</v>
          </cell>
          <cell r="N928" t="str">
            <v/>
          </cell>
          <cell r="O928" t="str">
            <v>F</v>
          </cell>
          <cell r="S928">
            <v>350550730</v>
          </cell>
          <cell r="Y928">
            <v>0</v>
          </cell>
          <cell r="AB928">
            <v>39031360</v>
          </cell>
          <cell r="AC928">
            <v>76491466</v>
          </cell>
          <cell r="AD928">
            <v>38439917</v>
          </cell>
          <cell r="AE928">
            <v>124232839</v>
          </cell>
          <cell r="AF928">
            <v>0</v>
          </cell>
          <cell r="AG928">
            <v>1395041</v>
          </cell>
          <cell r="AH928">
            <v>8221966</v>
          </cell>
          <cell r="AI928">
            <v>1131954</v>
          </cell>
          <cell r="AJ928">
            <v>0</v>
          </cell>
          <cell r="AK928">
            <v>0</v>
          </cell>
          <cell r="AL928">
            <v>0</v>
          </cell>
          <cell r="AM928">
            <v>2832213</v>
          </cell>
          <cell r="AN928">
            <v>17895025</v>
          </cell>
          <cell r="AO928">
            <v>18322949</v>
          </cell>
          <cell r="AP928">
            <v>1087209</v>
          </cell>
          <cell r="AQ928">
            <v>11216369</v>
          </cell>
          <cell r="AR928">
            <v>5725800</v>
          </cell>
          <cell r="AS928">
            <v>5923</v>
          </cell>
          <cell r="AT928">
            <v>0</v>
          </cell>
          <cell r="AU928">
            <v>-408537</v>
          </cell>
          <cell r="AV928">
            <v>633822</v>
          </cell>
          <cell r="AW928">
            <v>3298249</v>
          </cell>
          <cell r="AX928">
            <v>157819</v>
          </cell>
          <cell r="AY928">
            <v>2049</v>
          </cell>
          <cell r="AZ928">
            <v>0</v>
          </cell>
        </row>
        <row r="929">
          <cell r="I929" t="str">
            <v>7920</v>
          </cell>
          <cell r="K929" t="str">
            <v>10</v>
          </cell>
          <cell r="N929" t="str">
            <v/>
          </cell>
          <cell r="O929" t="str">
            <v>F</v>
          </cell>
          <cell r="S929">
            <v>105919</v>
          </cell>
          <cell r="Y929">
            <v>0</v>
          </cell>
          <cell r="AB929">
            <v>17496</v>
          </cell>
          <cell r="AC929">
            <v>177</v>
          </cell>
          <cell r="AD929">
            <v>17866</v>
          </cell>
          <cell r="AE929">
            <v>38518</v>
          </cell>
          <cell r="AF929">
            <v>0</v>
          </cell>
          <cell r="AG929">
            <v>289</v>
          </cell>
          <cell r="AH929">
            <v>2000</v>
          </cell>
          <cell r="AI929">
            <v>200</v>
          </cell>
          <cell r="AJ929">
            <v>0</v>
          </cell>
          <cell r="AK929">
            <v>0</v>
          </cell>
          <cell r="AL929">
            <v>0</v>
          </cell>
          <cell r="AM929">
            <v>1547</v>
          </cell>
          <cell r="AN929">
            <v>11386</v>
          </cell>
          <cell r="AO929">
            <v>12394</v>
          </cell>
          <cell r="AP929">
            <v>55</v>
          </cell>
          <cell r="AQ929">
            <v>6269</v>
          </cell>
          <cell r="AR929">
            <v>915</v>
          </cell>
          <cell r="AS929">
            <v>-1</v>
          </cell>
          <cell r="AT929">
            <v>0</v>
          </cell>
          <cell r="AU929">
            <v>-221</v>
          </cell>
          <cell r="AV929">
            <v>1348</v>
          </cell>
          <cell r="AW929">
            <v>1055</v>
          </cell>
          <cell r="AX929">
            <v>139</v>
          </cell>
          <cell r="AY929">
            <v>3</v>
          </cell>
          <cell r="AZ929">
            <v>-1</v>
          </cell>
        </row>
        <row r="930">
          <cell r="I930" t="str">
            <v>7920</v>
          </cell>
          <cell r="K930" t="str">
            <v>10</v>
          </cell>
          <cell r="N930" t="str">
            <v/>
          </cell>
          <cell r="O930" t="str">
            <v>F</v>
          </cell>
          <cell r="S930">
            <v>-1582738</v>
          </cell>
          <cell r="Y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</row>
        <row r="931">
          <cell r="I931" t="str">
            <v>7920</v>
          </cell>
          <cell r="K931" t="str">
            <v>10</v>
          </cell>
          <cell r="N931" t="str">
            <v/>
          </cell>
          <cell r="O931" t="str">
            <v>F</v>
          </cell>
          <cell r="S931">
            <v>537329379</v>
          </cell>
          <cell r="Y931">
            <v>0</v>
          </cell>
          <cell r="AB931">
            <v>112617782</v>
          </cell>
          <cell r="AC931">
            <v>955643</v>
          </cell>
          <cell r="AD931">
            <v>130603626</v>
          </cell>
          <cell r="AE931">
            <v>216835433</v>
          </cell>
          <cell r="AF931">
            <v>0</v>
          </cell>
          <cell r="AG931">
            <v>1958440</v>
          </cell>
          <cell r="AH931">
            <v>11079447</v>
          </cell>
          <cell r="AI931">
            <v>1178347</v>
          </cell>
          <cell r="AJ931">
            <v>0</v>
          </cell>
          <cell r="AK931">
            <v>0</v>
          </cell>
          <cell r="AL931">
            <v>0</v>
          </cell>
          <cell r="AM931">
            <v>8630145</v>
          </cell>
          <cell r="AN931">
            <v>46301696</v>
          </cell>
          <cell r="AO931">
            <v>41998649</v>
          </cell>
          <cell r="AP931">
            <v>1220183</v>
          </cell>
          <cell r="AQ931">
            <v>28541461</v>
          </cell>
          <cell r="AR931">
            <v>6463046</v>
          </cell>
          <cell r="AS931">
            <v>22348</v>
          </cell>
          <cell r="AT931">
            <v>0</v>
          </cell>
          <cell r="AU931">
            <v>-2919933</v>
          </cell>
          <cell r="AV931">
            <v>2533903</v>
          </cell>
          <cell r="AW931">
            <v>4847881</v>
          </cell>
          <cell r="AX931">
            <v>796658</v>
          </cell>
          <cell r="AY931">
            <v>12965</v>
          </cell>
          <cell r="AZ931">
            <v>-18</v>
          </cell>
        </row>
        <row r="932">
          <cell r="I932" t="str">
            <v>7920</v>
          </cell>
          <cell r="K932" t="str">
            <v>10</v>
          </cell>
          <cell r="N932" t="str">
            <v/>
          </cell>
          <cell r="O932" t="str">
            <v>F</v>
          </cell>
          <cell r="S932">
            <v>-5776650</v>
          </cell>
          <cell r="Y932">
            <v>0</v>
          </cell>
          <cell r="AB932">
            <v>-972756</v>
          </cell>
          <cell r="AC932">
            <v>-8694</v>
          </cell>
          <cell r="AD932">
            <v>-1154080</v>
          </cell>
          <cell r="AE932">
            <v>-1929057</v>
          </cell>
          <cell r="AF932">
            <v>0</v>
          </cell>
          <cell r="AG932">
            <v>-17258</v>
          </cell>
          <cell r="AH932">
            <v>-98736</v>
          </cell>
          <cell r="AI932">
            <v>-10508</v>
          </cell>
          <cell r="AJ932">
            <v>0</v>
          </cell>
          <cell r="AK932">
            <v>0</v>
          </cell>
          <cell r="AL932">
            <v>0</v>
          </cell>
          <cell r="AM932">
            <v>-83775</v>
          </cell>
          <cell r="AN932">
            <v>-422668</v>
          </cell>
          <cell r="AO932">
            <v>-390333</v>
          </cell>
          <cell r="AP932">
            <v>-8432</v>
          </cell>
          <cell r="AQ932">
            <v>-240593</v>
          </cell>
          <cell r="AR932">
            <v>-56831</v>
          </cell>
          <cell r="AS932">
            <v>-64</v>
          </cell>
          <cell r="AT932">
            <v>0</v>
          </cell>
          <cell r="AU932">
            <v>18850</v>
          </cell>
          <cell r="AV932">
            <v>-23226</v>
          </cell>
          <cell r="AW932">
            <v>-48559</v>
          </cell>
          <cell r="AX932">
            <v>-7354</v>
          </cell>
          <cell r="AY932">
            <v>-145</v>
          </cell>
          <cell r="AZ932">
            <v>-5</v>
          </cell>
        </row>
        <row r="933">
          <cell r="I933" t="str">
            <v>7920</v>
          </cell>
          <cell r="K933" t="str">
            <v>10</v>
          </cell>
          <cell r="N933" t="str">
            <v/>
          </cell>
          <cell r="O933" t="str">
            <v>F</v>
          </cell>
          <cell r="S933">
            <v>-763854</v>
          </cell>
          <cell r="Y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</row>
        <row r="934">
          <cell r="I934" t="str">
            <v>7920</v>
          </cell>
          <cell r="K934" t="str">
            <v>10</v>
          </cell>
          <cell r="N934" t="str">
            <v/>
          </cell>
          <cell r="O934" t="str">
            <v>F</v>
          </cell>
          <cell r="S934">
            <v>252650943</v>
          </cell>
          <cell r="Y934">
            <v>0</v>
          </cell>
          <cell r="AB934">
            <v>41639818</v>
          </cell>
          <cell r="AC934">
            <v>377458</v>
          </cell>
          <cell r="AD934">
            <v>54282224</v>
          </cell>
          <cell r="AE934">
            <v>82868559</v>
          </cell>
          <cell r="AF934">
            <v>0</v>
          </cell>
          <cell r="AG934">
            <v>764993</v>
          </cell>
          <cell r="AH934">
            <v>4242664</v>
          </cell>
          <cell r="AI934">
            <v>513413</v>
          </cell>
          <cell r="AJ934">
            <v>0</v>
          </cell>
          <cell r="AK934">
            <v>0</v>
          </cell>
          <cell r="AL934">
            <v>0</v>
          </cell>
          <cell r="AM934">
            <v>3712156</v>
          </cell>
          <cell r="AN934">
            <v>18557565</v>
          </cell>
          <cell r="AO934">
            <v>17230343</v>
          </cell>
          <cell r="AP934">
            <v>334611</v>
          </cell>
          <cell r="AQ934">
            <v>10358046</v>
          </cell>
          <cell r="AR934">
            <v>2419077</v>
          </cell>
          <cell r="AS934">
            <v>2205</v>
          </cell>
          <cell r="AT934">
            <v>0</v>
          </cell>
          <cell r="AU934">
            <v>-697485</v>
          </cell>
          <cell r="AV934">
            <v>1018486</v>
          </cell>
          <cell r="AW934">
            <v>2166863</v>
          </cell>
          <cell r="AX934">
            <v>321204</v>
          </cell>
          <cell r="AY934">
            <v>6516</v>
          </cell>
          <cell r="AZ934">
            <v>-2</v>
          </cell>
        </row>
        <row r="935">
          <cell r="I935" t="str">
            <v>7920</v>
          </cell>
          <cell r="K935" t="str">
            <v>10</v>
          </cell>
          <cell r="N935" t="str">
            <v/>
          </cell>
          <cell r="O935" t="str">
            <v>F</v>
          </cell>
          <cell r="S935">
            <v>70540</v>
          </cell>
          <cell r="Y935">
            <v>0</v>
          </cell>
          <cell r="AB935">
            <v>59194</v>
          </cell>
          <cell r="AC935">
            <v>355</v>
          </cell>
          <cell r="AD935">
            <v>16780</v>
          </cell>
          <cell r="AE935">
            <v>0</v>
          </cell>
          <cell r="AF935">
            <v>0</v>
          </cell>
          <cell r="AG935">
            <v>495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1376</v>
          </cell>
          <cell r="AN935">
            <v>6536</v>
          </cell>
          <cell r="AO935">
            <v>6593</v>
          </cell>
          <cell r="AP935">
            <v>2310</v>
          </cell>
          <cell r="AQ935">
            <v>5754</v>
          </cell>
          <cell r="AR935">
            <v>5733</v>
          </cell>
          <cell r="AS935">
            <v>0</v>
          </cell>
          <cell r="AT935">
            <v>0</v>
          </cell>
          <cell r="AU935">
            <v>0</v>
          </cell>
          <cell r="AV935">
            <v>26490</v>
          </cell>
          <cell r="AW935">
            <v>1831</v>
          </cell>
          <cell r="AX935">
            <v>0</v>
          </cell>
          <cell r="AY935">
            <v>0</v>
          </cell>
          <cell r="AZ935">
            <v>0</v>
          </cell>
        </row>
        <row r="936">
          <cell r="I936" t="str">
            <v>7920</v>
          </cell>
          <cell r="K936" t="str">
            <v>10</v>
          </cell>
          <cell r="N936" t="str">
            <v/>
          </cell>
          <cell r="O936" t="str">
            <v>F</v>
          </cell>
          <cell r="S936">
            <v>2777974</v>
          </cell>
          <cell r="Y936">
            <v>0</v>
          </cell>
          <cell r="AB936">
            <v>2307316</v>
          </cell>
          <cell r="AC936">
            <v>0</v>
          </cell>
          <cell r="AD936">
            <v>502896</v>
          </cell>
          <cell r="AE936">
            <v>419710</v>
          </cell>
          <cell r="AF936">
            <v>0</v>
          </cell>
          <cell r="AG936">
            <v>1340</v>
          </cell>
          <cell r="AH936">
            <v>17104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29539</v>
          </cell>
          <cell r="AN936">
            <v>118679</v>
          </cell>
          <cell r="AO936">
            <v>111290</v>
          </cell>
          <cell r="AP936">
            <v>49559</v>
          </cell>
          <cell r="AQ936">
            <v>110895</v>
          </cell>
          <cell r="AR936">
            <v>139188</v>
          </cell>
          <cell r="AS936">
            <v>0</v>
          </cell>
          <cell r="AT936">
            <v>0</v>
          </cell>
          <cell r="AU936">
            <v>0</v>
          </cell>
          <cell r="AV936">
            <v>1010810</v>
          </cell>
          <cell r="AW936">
            <v>69866</v>
          </cell>
          <cell r="AX936">
            <v>0</v>
          </cell>
          <cell r="AY936">
            <v>0</v>
          </cell>
          <cell r="AZ936">
            <v>0</v>
          </cell>
        </row>
        <row r="937">
          <cell r="I937" t="str">
            <v>7920</v>
          </cell>
          <cell r="K937" t="str">
            <v>20</v>
          </cell>
          <cell r="N937" t="str">
            <v/>
          </cell>
          <cell r="O937" t="str">
            <v>F</v>
          </cell>
          <cell r="S937">
            <v>-599173</v>
          </cell>
          <cell r="Y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</row>
        <row r="938">
          <cell r="I938" t="str">
            <v>7920</v>
          </cell>
          <cell r="K938" t="str">
            <v>20</v>
          </cell>
          <cell r="N938" t="str">
            <v/>
          </cell>
          <cell r="O938" t="str">
            <v>F</v>
          </cell>
          <cell r="S938">
            <v>132798</v>
          </cell>
          <cell r="Y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</row>
        <row r="939">
          <cell r="I939" t="str">
            <v>7920</v>
          </cell>
          <cell r="K939" t="str">
            <v>20</v>
          </cell>
          <cell r="N939" t="str">
            <v/>
          </cell>
          <cell r="O939" t="str">
            <v>F</v>
          </cell>
          <cell r="S939">
            <v>270526964</v>
          </cell>
          <cell r="Y939">
            <v>0</v>
          </cell>
          <cell r="AB939">
            <v>36476161</v>
          </cell>
          <cell r="AC939">
            <v>30905189</v>
          </cell>
          <cell r="AD939">
            <v>45735063</v>
          </cell>
          <cell r="AE939">
            <v>102260985</v>
          </cell>
          <cell r="AF939">
            <v>0</v>
          </cell>
          <cell r="AG939">
            <v>1150981</v>
          </cell>
          <cell r="AH939">
            <v>6774352</v>
          </cell>
          <cell r="AI939">
            <v>488214</v>
          </cell>
          <cell r="AJ939">
            <v>0</v>
          </cell>
          <cell r="AK939">
            <v>0</v>
          </cell>
          <cell r="AL939">
            <v>0</v>
          </cell>
          <cell r="AM939">
            <v>2792482</v>
          </cell>
          <cell r="AN939">
            <v>15426199</v>
          </cell>
          <cell r="AO939">
            <v>14917725</v>
          </cell>
          <cell r="AP939">
            <v>1249358</v>
          </cell>
          <cell r="AQ939">
            <v>10020368</v>
          </cell>
          <cell r="AR939">
            <v>5242351</v>
          </cell>
          <cell r="AS939">
            <v>6295</v>
          </cell>
          <cell r="AT939">
            <v>0</v>
          </cell>
          <cell r="AU939">
            <v>-459031</v>
          </cell>
          <cell r="AV939">
            <v>2471698</v>
          </cell>
          <cell r="AW939">
            <v>2662871</v>
          </cell>
          <cell r="AX939">
            <v>140338</v>
          </cell>
          <cell r="AY939">
            <v>1296</v>
          </cell>
          <cell r="AZ939">
            <v>0</v>
          </cell>
        </row>
        <row r="940">
          <cell r="I940" t="str">
            <v>7920</v>
          </cell>
          <cell r="K940" t="str">
            <v>20</v>
          </cell>
          <cell r="N940" t="str">
            <v/>
          </cell>
          <cell r="O940" t="str">
            <v>F</v>
          </cell>
          <cell r="S940">
            <v>0</v>
          </cell>
          <cell r="Y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</row>
        <row r="941">
          <cell r="I941" t="str">
            <v>7920</v>
          </cell>
          <cell r="K941" t="str">
            <v>20</v>
          </cell>
          <cell r="N941" t="str">
            <v/>
          </cell>
          <cell r="O941" t="str">
            <v>F</v>
          </cell>
          <cell r="S941">
            <v>-901181</v>
          </cell>
          <cell r="Y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</row>
        <row r="942">
          <cell r="I942" t="str">
            <v>7920</v>
          </cell>
          <cell r="K942" t="str">
            <v>20</v>
          </cell>
          <cell r="N942" t="str">
            <v/>
          </cell>
          <cell r="O942" t="str">
            <v>F</v>
          </cell>
          <cell r="S942">
            <v>26068</v>
          </cell>
          <cell r="Y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</row>
        <row r="943">
          <cell r="I943" t="str">
            <v>7920</v>
          </cell>
          <cell r="K943" t="str">
            <v>20</v>
          </cell>
          <cell r="N943" t="str">
            <v/>
          </cell>
          <cell r="O943" t="str">
            <v>F</v>
          </cell>
          <cell r="S943">
            <v>424571066</v>
          </cell>
          <cell r="Y943">
            <v>0</v>
          </cell>
          <cell r="AB943">
            <v>47273757</v>
          </cell>
          <cell r="AC943">
            <v>92831516</v>
          </cell>
          <cell r="AD943">
            <v>46724942</v>
          </cell>
          <cell r="AE943">
            <v>150669145</v>
          </cell>
          <cell r="AF943">
            <v>0</v>
          </cell>
          <cell r="AG943">
            <v>1692347</v>
          </cell>
          <cell r="AH943">
            <v>9977545</v>
          </cell>
          <cell r="AI943">
            <v>1372794</v>
          </cell>
          <cell r="AJ943">
            <v>0</v>
          </cell>
          <cell r="AK943">
            <v>0</v>
          </cell>
          <cell r="AL943">
            <v>0</v>
          </cell>
          <cell r="AM943">
            <v>3429718</v>
          </cell>
          <cell r="AN943">
            <v>21895189</v>
          </cell>
          <cell r="AO943">
            <v>22473953</v>
          </cell>
          <cell r="AP943">
            <v>1347658</v>
          </cell>
          <cell r="AQ943">
            <v>13776609</v>
          </cell>
          <cell r="AR943">
            <v>6908678</v>
          </cell>
          <cell r="AS943">
            <v>5553</v>
          </cell>
          <cell r="AT943">
            <v>0</v>
          </cell>
          <cell r="AU943">
            <v>-524544</v>
          </cell>
          <cell r="AV943">
            <v>764366</v>
          </cell>
          <cell r="AW943">
            <v>3970740</v>
          </cell>
          <cell r="AX943">
            <v>189797</v>
          </cell>
          <cell r="AY943">
            <v>2368</v>
          </cell>
          <cell r="AZ943">
            <v>0</v>
          </cell>
        </row>
        <row r="944">
          <cell r="I944" t="str">
            <v>7920</v>
          </cell>
          <cell r="K944" t="str">
            <v>20</v>
          </cell>
          <cell r="N944" t="str">
            <v/>
          </cell>
          <cell r="O944" t="str">
            <v>F</v>
          </cell>
          <cell r="S944">
            <v>747660</v>
          </cell>
          <cell r="Y944">
            <v>0</v>
          </cell>
          <cell r="AB944">
            <v>84088</v>
          </cell>
          <cell r="AC944">
            <v>164206</v>
          </cell>
          <cell r="AD944">
            <v>83400</v>
          </cell>
          <cell r="AE944">
            <v>266698</v>
          </cell>
          <cell r="AF944">
            <v>0</v>
          </cell>
          <cell r="AG944">
            <v>2994</v>
          </cell>
          <cell r="AH944">
            <v>17672</v>
          </cell>
          <cell r="AI944">
            <v>2430</v>
          </cell>
          <cell r="AJ944">
            <v>0</v>
          </cell>
          <cell r="AK944">
            <v>0</v>
          </cell>
          <cell r="AL944">
            <v>0</v>
          </cell>
          <cell r="AM944">
            <v>6064</v>
          </cell>
          <cell r="AN944">
            <v>38659</v>
          </cell>
          <cell r="AO944">
            <v>39627</v>
          </cell>
          <cell r="AP944">
            <v>2354</v>
          </cell>
          <cell r="AQ944">
            <v>24313</v>
          </cell>
          <cell r="AR944">
            <v>12254</v>
          </cell>
          <cell r="AS944">
            <v>7</v>
          </cell>
          <cell r="AT944">
            <v>0</v>
          </cell>
          <cell r="AU944">
            <v>-923</v>
          </cell>
          <cell r="AV944">
            <v>1357</v>
          </cell>
          <cell r="AW944">
            <v>7026</v>
          </cell>
          <cell r="AX944">
            <v>338</v>
          </cell>
          <cell r="AY944">
            <v>4</v>
          </cell>
          <cell r="AZ944">
            <v>0</v>
          </cell>
        </row>
        <row r="945">
          <cell r="I945" t="str">
            <v>7920</v>
          </cell>
          <cell r="K945" t="str">
            <v>20</v>
          </cell>
          <cell r="N945" t="str">
            <v/>
          </cell>
          <cell r="O945" t="str">
            <v>F</v>
          </cell>
          <cell r="S945">
            <v>722</v>
          </cell>
          <cell r="Y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</row>
        <row r="946">
          <cell r="I946" t="str">
            <v>7920</v>
          </cell>
          <cell r="K946" t="str">
            <v>20</v>
          </cell>
          <cell r="N946" t="str">
            <v/>
          </cell>
          <cell r="O946" t="str">
            <v>F</v>
          </cell>
          <cell r="S946">
            <v>-2021908</v>
          </cell>
          <cell r="Y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</row>
        <row r="947">
          <cell r="I947" t="str">
            <v>7920</v>
          </cell>
          <cell r="K947" t="str">
            <v>20</v>
          </cell>
          <cell r="N947" t="str">
            <v/>
          </cell>
          <cell r="O947" t="str">
            <v>F</v>
          </cell>
          <cell r="S947">
            <v>408345840</v>
          </cell>
          <cell r="Y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</row>
        <row r="948">
          <cell r="I948" t="str">
            <v>7920</v>
          </cell>
          <cell r="K948" t="str">
            <v>20</v>
          </cell>
          <cell r="N948" t="str">
            <v/>
          </cell>
          <cell r="O948" t="str">
            <v>F</v>
          </cell>
          <cell r="S948">
            <v>844272860</v>
          </cell>
          <cell r="Y948">
            <v>0</v>
          </cell>
          <cell r="AB948">
            <v>158452010</v>
          </cell>
          <cell r="AC948">
            <v>1377721</v>
          </cell>
          <cell r="AD948">
            <v>186442804</v>
          </cell>
          <cell r="AE948">
            <v>309077879</v>
          </cell>
          <cell r="AF948">
            <v>0</v>
          </cell>
          <cell r="AG948">
            <v>2798989</v>
          </cell>
          <cell r="AH948">
            <v>15803419</v>
          </cell>
          <cell r="AI948">
            <v>1681634</v>
          </cell>
          <cell r="AJ948">
            <v>0</v>
          </cell>
          <cell r="AK948">
            <v>0</v>
          </cell>
          <cell r="AL948">
            <v>0</v>
          </cell>
          <cell r="AM948">
            <v>12883536</v>
          </cell>
          <cell r="AN948">
            <v>67284778</v>
          </cell>
          <cell r="AO948">
            <v>61652368</v>
          </cell>
          <cell r="AP948">
            <v>1555278</v>
          </cell>
          <cell r="AQ948">
            <v>39935012</v>
          </cell>
          <cell r="AR948">
            <v>9173774</v>
          </cell>
          <cell r="AS948">
            <v>21952</v>
          </cell>
          <cell r="AT948">
            <v>0</v>
          </cell>
          <cell r="AU948">
            <v>-3556179</v>
          </cell>
          <cell r="AV948">
            <v>3679258</v>
          </cell>
          <cell r="AW948">
            <v>7361830</v>
          </cell>
          <cell r="AX948">
            <v>1157905</v>
          </cell>
          <cell r="AY948">
            <v>20692</v>
          </cell>
          <cell r="AZ948">
            <v>-16</v>
          </cell>
        </row>
        <row r="949">
          <cell r="I949" t="str">
            <v>7920</v>
          </cell>
          <cell r="K949" t="str">
            <v>20</v>
          </cell>
          <cell r="N949" t="str">
            <v/>
          </cell>
          <cell r="O949" t="str">
            <v>F</v>
          </cell>
          <cell r="S949">
            <v>-3479670</v>
          </cell>
          <cell r="Y949">
            <v>0</v>
          </cell>
          <cell r="AB949">
            <v>-583749</v>
          </cell>
          <cell r="AC949">
            <v>-5250</v>
          </cell>
          <cell r="AD949">
            <v>-703591</v>
          </cell>
          <cell r="AE949">
            <v>-1156388</v>
          </cell>
          <cell r="AF949">
            <v>0</v>
          </cell>
          <cell r="AG949">
            <v>-10678</v>
          </cell>
          <cell r="AH949">
            <v>-59203</v>
          </cell>
          <cell r="AI949">
            <v>-6305</v>
          </cell>
          <cell r="AJ949">
            <v>0</v>
          </cell>
          <cell r="AK949">
            <v>0</v>
          </cell>
          <cell r="AL949">
            <v>0</v>
          </cell>
          <cell r="AM949">
            <v>-51844</v>
          </cell>
          <cell r="AN949">
            <v>-262414</v>
          </cell>
          <cell r="AO949">
            <v>-244457</v>
          </cell>
          <cell r="AP949">
            <v>-4864</v>
          </cell>
          <cell r="AQ949">
            <v>-147302</v>
          </cell>
          <cell r="AR949">
            <v>-34355</v>
          </cell>
          <cell r="AS949">
            <v>-30</v>
          </cell>
          <cell r="AT949">
            <v>0</v>
          </cell>
          <cell r="AU949">
            <v>9367</v>
          </cell>
          <cell r="AV949">
            <v>-14247</v>
          </cell>
          <cell r="AW949">
            <v>-30332</v>
          </cell>
          <cell r="AX949">
            <v>-4472</v>
          </cell>
          <cell r="AY949">
            <v>-96</v>
          </cell>
          <cell r="AZ949">
            <v>0</v>
          </cell>
        </row>
        <row r="950">
          <cell r="I950" t="str">
            <v>7920</v>
          </cell>
          <cell r="K950" t="str">
            <v>20</v>
          </cell>
          <cell r="N950" t="str">
            <v/>
          </cell>
          <cell r="O950" t="str">
            <v>F</v>
          </cell>
          <cell r="S950">
            <v>-4174597</v>
          </cell>
          <cell r="Y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</row>
        <row r="951">
          <cell r="I951" t="str">
            <v>7920</v>
          </cell>
          <cell r="K951" t="str">
            <v>20</v>
          </cell>
          <cell r="N951" t="str">
            <v/>
          </cell>
          <cell r="O951" t="str">
            <v>F</v>
          </cell>
          <cell r="S951">
            <v>6425280</v>
          </cell>
          <cell r="Y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</row>
        <row r="952">
          <cell r="I952" t="str">
            <v>7920</v>
          </cell>
          <cell r="K952" t="str">
            <v>20</v>
          </cell>
          <cell r="N952" t="str">
            <v/>
          </cell>
          <cell r="O952" t="str">
            <v>F</v>
          </cell>
          <cell r="S952">
            <v>85350360</v>
          </cell>
          <cell r="Y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</row>
        <row r="953">
          <cell r="I953" t="str">
            <v>7920</v>
          </cell>
          <cell r="K953" t="str">
            <v>20</v>
          </cell>
          <cell r="N953" t="str">
            <v/>
          </cell>
          <cell r="O953" t="str">
            <v>F</v>
          </cell>
          <cell r="S953">
            <v>1420436893</v>
          </cell>
          <cell r="Y953">
            <v>0</v>
          </cell>
          <cell r="AB953">
            <v>251878918</v>
          </cell>
          <cell r="AC953">
            <v>2257040</v>
          </cell>
          <cell r="AD953">
            <v>326832139</v>
          </cell>
          <cell r="AE953">
            <v>498225998</v>
          </cell>
          <cell r="AF953">
            <v>0</v>
          </cell>
          <cell r="AG953">
            <v>4591267</v>
          </cell>
          <cell r="AH953">
            <v>25489546</v>
          </cell>
          <cell r="AI953">
            <v>3083869</v>
          </cell>
          <cell r="AJ953">
            <v>0</v>
          </cell>
          <cell r="AK953">
            <v>0</v>
          </cell>
          <cell r="AL953">
            <v>0</v>
          </cell>
          <cell r="AM953">
            <v>21867428</v>
          </cell>
          <cell r="AN953">
            <v>110999299</v>
          </cell>
          <cell r="AO953">
            <v>102802295</v>
          </cell>
          <cell r="AP953">
            <v>2151969</v>
          </cell>
          <cell r="AQ953">
            <v>63096620</v>
          </cell>
          <cell r="AR953">
            <v>14582360</v>
          </cell>
          <cell r="AS953">
            <v>32289</v>
          </cell>
          <cell r="AT953">
            <v>0</v>
          </cell>
          <cell r="AU953">
            <v>-4659365</v>
          </cell>
          <cell r="AV953">
            <v>6070283</v>
          </cell>
          <cell r="AW953">
            <v>12714686</v>
          </cell>
          <cell r="AX953">
            <v>1913628</v>
          </cell>
          <cell r="AY953">
            <v>37481</v>
          </cell>
          <cell r="AZ953">
            <v>-32</v>
          </cell>
        </row>
        <row r="954">
          <cell r="I954" t="str">
            <v>7920</v>
          </cell>
          <cell r="K954" t="str">
            <v>20</v>
          </cell>
          <cell r="N954" t="str">
            <v/>
          </cell>
          <cell r="O954" t="str">
            <v>F</v>
          </cell>
          <cell r="S954">
            <v>-2372760</v>
          </cell>
          <cell r="Y954">
            <v>0</v>
          </cell>
          <cell r="AB954">
            <v>-387365</v>
          </cell>
          <cell r="AC954">
            <v>-3507</v>
          </cell>
          <cell r="AD954">
            <v>-509465</v>
          </cell>
          <cell r="AE954">
            <v>-770695</v>
          </cell>
          <cell r="AF954">
            <v>0</v>
          </cell>
          <cell r="AG954">
            <v>-7112</v>
          </cell>
          <cell r="AH954">
            <v>-39458</v>
          </cell>
          <cell r="AI954">
            <v>-4772</v>
          </cell>
          <cell r="AJ954">
            <v>0</v>
          </cell>
          <cell r="AK954">
            <v>0</v>
          </cell>
          <cell r="AL954">
            <v>0</v>
          </cell>
          <cell r="AM954">
            <v>-34006</v>
          </cell>
          <cell r="AN954">
            <v>-170266</v>
          </cell>
          <cell r="AO954">
            <v>-157590</v>
          </cell>
          <cell r="AP954">
            <v>-3162</v>
          </cell>
          <cell r="AQ954">
            <v>-95747</v>
          </cell>
          <cell r="AR954">
            <v>-22279</v>
          </cell>
          <cell r="AS954">
            <v>-27</v>
          </cell>
          <cell r="AT954">
            <v>0</v>
          </cell>
          <cell r="AU954">
            <v>7189</v>
          </cell>
          <cell r="AV954">
            <v>-9382</v>
          </cell>
          <cell r="AW954">
            <v>-19782</v>
          </cell>
          <cell r="AX954">
            <v>-2974</v>
          </cell>
          <cell r="AY954">
            <v>-60</v>
          </cell>
          <cell r="AZ954">
            <v>-5</v>
          </cell>
        </row>
        <row r="955">
          <cell r="I955" t="str">
            <v>7920</v>
          </cell>
          <cell r="K955" t="str">
            <v>20</v>
          </cell>
          <cell r="N955" t="str">
            <v/>
          </cell>
          <cell r="O955" t="str">
            <v>F</v>
          </cell>
          <cell r="S955">
            <v>-370964</v>
          </cell>
          <cell r="Y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</row>
        <row r="956">
          <cell r="I956" t="str">
            <v>7920</v>
          </cell>
          <cell r="K956" t="str">
            <v>20</v>
          </cell>
          <cell r="N956" t="str">
            <v/>
          </cell>
          <cell r="O956" t="str">
            <v>F</v>
          </cell>
          <cell r="S956">
            <v>122974044</v>
          </cell>
          <cell r="Y956">
            <v>0</v>
          </cell>
          <cell r="AB956">
            <v>20179896</v>
          </cell>
          <cell r="AC956">
            <v>179641</v>
          </cell>
          <cell r="AD956">
            <v>26300301</v>
          </cell>
          <cell r="AE956">
            <v>39791311</v>
          </cell>
          <cell r="AF956">
            <v>0</v>
          </cell>
          <cell r="AG956">
            <v>367116</v>
          </cell>
          <cell r="AH956">
            <v>2037078</v>
          </cell>
          <cell r="AI956">
            <v>246415</v>
          </cell>
          <cell r="AJ956">
            <v>0</v>
          </cell>
          <cell r="AK956">
            <v>0</v>
          </cell>
          <cell r="AL956">
            <v>0</v>
          </cell>
          <cell r="AM956">
            <v>1731205</v>
          </cell>
          <cell r="AN956">
            <v>8859741</v>
          </cell>
          <cell r="AO956">
            <v>8205566</v>
          </cell>
          <cell r="AP956">
            <v>177866</v>
          </cell>
          <cell r="AQ956">
            <v>5075542</v>
          </cell>
          <cell r="AR956">
            <v>1176054</v>
          </cell>
          <cell r="AS956">
            <v>1679</v>
          </cell>
          <cell r="AT956">
            <v>0</v>
          </cell>
          <cell r="AU956">
            <v>-386777</v>
          </cell>
          <cell r="AV956">
            <v>482589</v>
          </cell>
          <cell r="AW956">
            <v>1009343</v>
          </cell>
          <cell r="AX956">
            <v>152088</v>
          </cell>
          <cell r="AY956">
            <v>2935</v>
          </cell>
          <cell r="AZ956">
            <v>-1</v>
          </cell>
        </row>
        <row r="957">
          <cell r="I957" t="str">
            <v>7920</v>
          </cell>
          <cell r="K957" t="str">
            <v>20</v>
          </cell>
          <cell r="N957" t="str">
            <v/>
          </cell>
          <cell r="O957" t="str">
            <v>F</v>
          </cell>
          <cell r="S957">
            <v>-320580</v>
          </cell>
          <cell r="Y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</row>
        <row r="958">
          <cell r="I958" t="str">
            <v>7920</v>
          </cell>
          <cell r="K958" t="str">
            <v>20</v>
          </cell>
          <cell r="N958" t="str">
            <v/>
          </cell>
          <cell r="O958" t="str">
            <v>F</v>
          </cell>
          <cell r="S958">
            <v>120859782</v>
          </cell>
          <cell r="Y958">
            <v>0</v>
          </cell>
          <cell r="AB958">
            <v>16788116</v>
          </cell>
          <cell r="AC958">
            <v>9406363</v>
          </cell>
          <cell r="AD958">
            <v>18081765</v>
          </cell>
          <cell r="AE958">
            <v>36610616</v>
          </cell>
          <cell r="AF958">
            <v>0</v>
          </cell>
          <cell r="AG958">
            <v>276771</v>
          </cell>
          <cell r="AH958">
            <v>1899946</v>
          </cell>
          <cell r="AI958">
            <v>353361</v>
          </cell>
          <cell r="AJ958">
            <v>626286</v>
          </cell>
          <cell r="AK958">
            <v>0</v>
          </cell>
          <cell r="AL958">
            <v>0</v>
          </cell>
          <cell r="AM958">
            <v>1429464</v>
          </cell>
          <cell r="AN958">
            <v>9841725</v>
          </cell>
          <cell r="AO958">
            <v>10368552</v>
          </cell>
          <cell r="AP958">
            <v>70622</v>
          </cell>
          <cell r="AQ958">
            <v>5524509</v>
          </cell>
          <cell r="AR958">
            <v>1027856</v>
          </cell>
          <cell r="AS958">
            <v>836</v>
          </cell>
          <cell r="AT958">
            <v>0</v>
          </cell>
          <cell r="AU958">
            <v>-255081</v>
          </cell>
          <cell r="AV958">
            <v>445877</v>
          </cell>
          <cell r="AW958">
            <v>1201728</v>
          </cell>
          <cell r="AX958">
            <v>128648</v>
          </cell>
          <cell r="AY958">
            <v>2846</v>
          </cell>
          <cell r="AZ958">
            <v>-1</v>
          </cell>
        </row>
        <row r="959">
          <cell r="I959" t="str">
            <v>7920</v>
          </cell>
          <cell r="K959" t="str">
            <v>10</v>
          </cell>
          <cell r="N959" t="str">
            <v>1</v>
          </cell>
          <cell r="O959" t="str">
            <v>D</v>
          </cell>
          <cell r="S959">
            <v>0</v>
          </cell>
          <cell r="Y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</row>
        <row r="960">
          <cell r="I960" t="str">
            <v>7920</v>
          </cell>
          <cell r="K960" t="str">
            <v>10</v>
          </cell>
          <cell r="N960" t="str">
            <v/>
          </cell>
          <cell r="O960" t="str">
            <v>F</v>
          </cell>
          <cell r="S960">
            <v>1243710</v>
          </cell>
          <cell r="Y960">
            <v>0</v>
          </cell>
          <cell r="AB960">
            <v>424863</v>
          </cell>
          <cell r="AC960">
            <v>0</v>
          </cell>
          <cell r="AD960">
            <v>190050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33797</v>
          </cell>
          <cell r="AN960">
            <v>118424</v>
          </cell>
          <cell r="AO960">
            <v>122817</v>
          </cell>
          <cell r="AP960">
            <v>1477</v>
          </cell>
          <cell r="AQ960">
            <v>62047</v>
          </cell>
          <cell r="AR960">
            <v>36758</v>
          </cell>
          <cell r="AS960">
            <v>186</v>
          </cell>
          <cell r="AT960">
            <v>0</v>
          </cell>
          <cell r="AU960">
            <v>-3013</v>
          </cell>
          <cell r="AV960">
            <v>241</v>
          </cell>
          <cell r="AW960">
            <v>75183</v>
          </cell>
          <cell r="AX960">
            <v>2645</v>
          </cell>
          <cell r="AY960">
            <v>0</v>
          </cell>
          <cell r="AZ960">
            <v>0</v>
          </cell>
        </row>
        <row r="961">
          <cell r="I961" t="str">
            <v>7920</v>
          </cell>
          <cell r="K961" t="str">
            <v>10</v>
          </cell>
          <cell r="N961" t="str">
            <v>1</v>
          </cell>
          <cell r="O961" t="str">
            <v>D</v>
          </cell>
          <cell r="S961">
            <v>0</v>
          </cell>
          <cell r="Y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</row>
        <row r="962">
          <cell r="I962" t="str">
            <v>7920</v>
          </cell>
          <cell r="K962" t="str">
            <v>20</v>
          </cell>
          <cell r="N962" t="str">
            <v>1</v>
          </cell>
          <cell r="O962" t="str">
            <v>D</v>
          </cell>
          <cell r="S962">
            <v>0</v>
          </cell>
          <cell r="Y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</row>
        <row r="963">
          <cell r="I963" t="str">
            <v>7920</v>
          </cell>
          <cell r="K963" t="str">
            <v>10</v>
          </cell>
          <cell r="N963" t="str">
            <v/>
          </cell>
          <cell r="O963" t="str">
            <v>F</v>
          </cell>
          <cell r="S963">
            <v>-2997256</v>
          </cell>
          <cell r="Y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</row>
        <row r="964">
          <cell r="I964" t="str">
            <v>7920</v>
          </cell>
          <cell r="K964" t="str">
            <v>10</v>
          </cell>
          <cell r="N964" t="str">
            <v/>
          </cell>
          <cell r="O964" t="str">
            <v>F</v>
          </cell>
          <cell r="S964">
            <v>533118096</v>
          </cell>
          <cell r="Y964">
            <v>0</v>
          </cell>
          <cell r="AB964">
            <v>233803030</v>
          </cell>
          <cell r="AC964">
            <v>85405060</v>
          </cell>
          <cell r="AD964">
            <v>6173093</v>
          </cell>
          <cell r="AE964">
            <v>0</v>
          </cell>
          <cell r="AF964">
            <v>133495451</v>
          </cell>
          <cell r="AG964">
            <v>811184</v>
          </cell>
          <cell r="AH964">
            <v>0</v>
          </cell>
          <cell r="AI964">
            <v>3830531</v>
          </cell>
          <cell r="AJ964">
            <v>0</v>
          </cell>
          <cell r="AK964">
            <v>0</v>
          </cell>
          <cell r="AL964">
            <v>0</v>
          </cell>
          <cell r="AM964">
            <v>4430812</v>
          </cell>
          <cell r="AN964">
            <v>23990791</v>
          </cell>
          <cell r="AO964">
            <v>27827325</v>
          </cell>
          <cell r="AP964">
            <v>92725</v>
          </cell>
          <cell r="AQ964">
            <v>14498359</v>
          </cell>
          <cell r="AR964">
            <v>6393820</v>
          </cell>
          <cell r="AS964">
            <v>139232</v>
          </cell>
          <cell r="AT964">
            <v>0</v>
          </cell>
          <cell r="AU964">
            <v>-399269</v>
          </cell>
          <cell r="AV964">
            <v>12544553</v>
          </cell>
          <cell r="AW964">
            <v>8937506</v>
          </cell>
          <cell r="AX964">
            <v>0</v>
          </cell>
          <cell r="AY964">
            <v>0</v>
          </cell>
          <cell r="AZ964">
            <v>-545</v>
          </cell>
        </row>
        <row r="965">
          <cell r="I965" t="str">
            <v>7920</v>
          </cell>
          <cell r="K965" t="str">
            <v>10</v>
          </cell>
          <cell r="N965" t="str">
            <v/>
          </cell>
          <cell r="O965" t="str">
            <v>F</v>
          </cell>
          <cell r="S965">
            <v>-4470592</v>
          </cell>
          <cell r="Y965">
            <v>0</v>
          </cell>
          <cell r="AB965">
            <v>-1960621</v>
          </cell>
          <cell r="AC965">
            <v>-716186</v>
          </cell>
          <cell r="AD965">
            <v>-51768</v>
          </cell>
          <cell r="AE965">
            <v>0</v>
          </cell>
          <cell r="AF965">
            <v>-1119461</v>
          </cell>
          <cell r="AG965">
            <v>-6800</v>
          </cell>
          <cell r="AH965">
            <v>0</v>
          </cell>
          <cell r="AI965">
            <v>-32126</v>
          </cell>
          <cell r="AJ965">
            <v>0</v>
          </cell>
          <cell r="AK965">
            <v>0</v>
          </cell>
          <cell r="AL965">
            <v>0</v>
          </cell>
          <cell r="AM965">
            <v>-37160</v>
          </cell>
          <cell r="AN965">
            <v>-201187</v>
          </cell>
          <cell r="AO965">
            <v>-233353</v>
          </cell>
          <cell r="AP965">
            <v>-778</v>
          </cell>
          <cell r="AQ965">
            <v>-121578</v>
          </cell>
          <cell r="AR965">
            <v>-53619</v>
          </cell>
          <cell r="AS965">
            <v>-1170</v>
          </cell>
          <cell r="AT965">
            <v>0</v>
          </cell>
          <cell r="AU965">
            <v>3346</v>
          </cell>
          <cell r="AV965">
            <v>-105194</v>
          </cell>
          <cell r="AW965">
            <v>-74950</v>
          </cell>
          <cell r="AX965">
            <v>0</v>
          </cell>
          <cell r="AY965">
            <v>0</v>
          </cell>
          <cell r="AZ965">
            <v>0</v>
          </cell>
        </row>
        <row r="966">
          <cell r="I966" t="str">
            <v>7920</v>
          </cell>
          <cell r="K966" t="str">
            <v>20</v>
          </cell>
          <cell r="N966" t="str">
            <v/>
          </cell>
          <cell r="O966" t="str">
            <v>F</v>
          </cell>
          <cell r="S966">
            <v>-10447336</v>
          </cell>
          <cell r="Y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</row>
        <row r="967">
          <cell r="I967" t="str">
            <v>7920</v>
          </cell>
          <cell r="K967" t="str">
            <v>20</v>
          </cell>
          <cell r="N967" t="str">
            <v/>
          </cell>
          <cell r="O967" t="str">
            <v>F</v>
          </cell>
          <cell r="S967">
            <v>1826697040</v>
          </cell>
          <cell r="Y967">
            <v>0</v>
          </cell>
          <cell r="AB967">
            <v>801114947</v>
          </cell>
          <cell r="AC967">
            <v>292635309</v>
          </cell>
          <cell r="AD967">
            <v>21151726</v>
          </cell>
          <cell r="AE967">
            <v>0</v>
          </cell>
          <cell r="AF967">
            <v>457414159</v>
          </cell>
          <cell r="AG967">
            <v>2779456</v>
          </cell>
          <cell r="AH967">
            <v>0</v>
          </cell>
          <cell r="AI967">
            <v>13125413</v>
          </cell>
          <cell r="AJ967">
            <v>0</v>
          </cell>
          <cell r="AK967">
            <v>0</v>
          </cell>
          <cell r="AL967">
            <v>0</v>
          </cell>
          <cell r="AM967">
            <v>15181770</v>
          </cell>
          <cell r="AN967">
            <v>82203012</v>
          </cell>
          <cell r="AO967">
            <v>95348989</v>
          </cell>
          <cell r="AP967">
            <v>317736</v>
          </cell>
          <cell r="AQ967">
            <v>49677792</v>
          </cell>
          <cell r="AR967">
            <v>21908085</v>
          </cell>
          <cell r="AS967">
            <v>477144</v>
          </cell>
          <cell r="AT967">
            <v>0</v>
          </cell>
          <cell r="AU967">
            <v>-1368099</v>
          </cell>
          <cell r="AV967">
            <v>42983276</v>
          </cell>
          <cell r="AW967">
            <v>30623853</v>
          </cell>
          <cell r="AX967">
            <v>0</v>
          </cell>
          <cell r="AY967">
            <v>0</v>
          </cell>
          <cell r="AZ967">
            <v>-1866</v>
          </cell>
        </row>
        <row r="968">
          <cell r="I968" t="str">
            <v>7920</v>
          </cell>
          <cell r="K968" t="str">
            <v>20</v>
          </cell>
          <cell r="N968" t="str">
            <v/>
          </cell>
          <cell r="O968" t="str">
            <v>F</v>
          </cell>
          <cell r="S968">
            <v>-591696</v>
          </cell>
          <cell r="Y968">
            <v>0</v>
          </cell>
          <cell r="AB968">
            <v>-258287</v>
          </cell>
          <cell r="AC968">
            <v>-94788</v>
          </cell>
          <cell r="AD968">
            <v>-6850</v>
          </cell>
          <cell r="AE968">
            <v>0</v>
          </cell>
          <cell r="AF968">
            <v>-148148</v>
          </cell>
          <cell r="AG968">
            <v>-896</v>
          </cell>
          <cell r="AH968">
            <v>0</v>
          </cell>
          <cell r="AI968">
            <v>-4125</v>
          </cell>
          <cell r="AJ968">
            <v>0</v>
          </cell>
          <cell r="AK968">
            <v>0</v>
          </cell>
          <cell r="AL968">
            <v>0</v>
          </cell>
          <cell r="AM968">
            <v>-4971</v>
          </cell>
          <cell r="AN968">
            <v>-26618</v>
          </cell>
          <cell r="AO968">
            <v>-30751</v>
          </cell>
          <cell r="AP968">
            <v>-90</v>
          </cell>
          <cell r="AQ968">
            <v>-16072</v>
          </cell>
          <cell r="AR968">
            <v>-7070</v>
          </cell>
          <cell r="AS968">
            <v>-125</v>
          </cell>
          <cell r="AT968">
            <v>0</v>
          </cell>
          <cell r="AU968">
            <v>430</v>
          </cell>
          <cell r="AV968">
            <v>-13877</v>
          </cell>
          <cell r="AW968">
            <v>-9907</v>
          </cell>
          <cell r="AX968">
            <v>0</v>
          </cell>
          <cell r="AY968">
            <v>0</v>
          </cell>
          <cell r="AZ968">
            <v>-3</v>
          </cell>
        </row>
        <row r="969">
          <cell r="I969" t="str">
            <v>7920</v>
          </cell>
          <cell r="K969" t="str">
            <v>10</v>
          </cell>
          <cell r="N969" t="str">
            <v>1</v>
          </cell>
          <cell r="O969" t="str">
            <v>D</v>
          </cell>
          <cell r="S969">
            <v>0</v>
          </cell>
          <cell r="Y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</row>
        <row r="970">
          <cell r="I970" t="str">
            <v>7920</v>
          </cell>
          <cell r="K970" t="str">
            <v>20</v>
          </cell>
          <cell r="N970" t="str">
            <v>1</v>
          </cell>
          <cell r="O970" t="str">
            <v>D</v>
          </cell>
          <cell r="S970">
            <v>0</v>
          </cell>
          <cell r="Y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</row>
        <row r="971">
          <cell r="I971" t="str">
            <v>7920</v>
          </cell>
          <cell r="K971" t="str">
            <v>10</v>
          </cell>
          <cell r="N971" t="str">
            <v/>
          </cell>
          <cell r="O971" t="str">
            <v>F</v>
          </cell>
          <cell r="S971">
            <v>-4979931</v>
          </cell>
          <cell r="Y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</row>
        <row r="972">
          <cell r="I972" t="str">
            <v>7920</v>
          </cell>
          <cell r="K972" t="str">
            <v>10</v>
          </cell>
          <cell r="N972" t="str">
            <v/>
          </cell>
          <cell r="O972" t="str">
            <v>F</v>
          </cell>
          <cell r="S972">
            <v>465370260</v>
          </cell>
          <cell r="Y972">
            <v>0</v>
          </cell>
          <cell r="AB972">
            <v>226941721</v>
          </cell>
          <cell r="AC972">
            <v>56316776</v>
          </cell>
          <cell r="AD972">
            <v>26263653</v>
          </cell>
          <cell r="AE972">
            <v>0</v>
          </cell>
          <cell r="AF972">
            <v>80495812</v>
          </cell>
          <cell r="AG972">
            <v>802684</v>
          </cell>
          <cell r="AH972">
            <v>280935</v>
          </cell>
          <cell r="AI972">
            <v>3150847</v>
          </cell>
          <cell r="AJ972">
            <v>0</v>
          </cell>
          <cell r="AK972">
            <v>0</v>
          </cell>
          <cell r="AL972">
            <v>0</v>
          </cell>
          <cell r="AM972">
            <v>3950097</v>
          </cell>
          <cell r="AN972">
            <v>22701300</v>
          </cell>
          <cell r="AO972">
            <v>27128693</v>
          </cell>
          <cell r="AP972">
            <v>78013</v>
          </cell>
          <cell r="AQ972">
            <v>13741402</v>
          </cell>
          <cell r="AR972">
            <v>5686426</v>
          </cell>
          <cell r="AS972">
            <v>255415</v>
          </cell>
          <cell r="AT972">
            <v>0</v>
          </cell>
          <cell r="AU972">
            <v>-386864</v>
          </cell>
          <cell r="AV972">
            <v>11561743</v>
          </cell>
          <cell r="AW972">
            <v>8212580</v>
          </cell>
          <cell r="AX972">
            <v>0</v>
          </cell>
          <cell r="AY972">
            <v>0</v>
          </cell>
          <cell r="AZ972">
            <v>24</v>
          </cell>
        </row>
        <row r="973">
          <cell r="I973" t="str">
            <v>7920</v>
          </cell>
          <cell r="K973" t="str">
            <v>20</v>
          </cell>
          <cell r="N973" t="str">
            <v/>
          </cell>
          <cell r="O973" t="str">
            <v>F</v>
          </cell>
          <cell r="S973">
            <v>-19327708</v>
          </cell>
          <cell r="Y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</row>
        <row r="974">
          <cell r="I974" t="str">
            <v>7920</v>
          </cell>
          <cell r="K974" t="str">
            <v>20</v>
          </cell>
          <cell r="N974" t="str">
            <v/>
          </cell>
          <cell r="O974" t="str">
            <v>F</v>
          </cell>
          <cell r="S974">
            <v>1612252410</v>
          </cell>
          <cell r="Y974">
            <v>0</v>
          </cell>
          <cell r="AB974">
            <v>785879779</v>
          </cell>
          <cell r="AC974">
            <v>195135572</v>
          </cell>
          <cell r="AD974">
            <v>91003643</v>
          </cell>
          <cell r="AE974">
            <v>0</v>
          </cell>
          <cell r="AF974">
            <v>278817813</v>
          </cell>
          <cell r="AG974">
            <v>2781282</v>
          </cell>
          <cell r="AH974">
            <v>973451</v>
          </cell>
          <cell r="AI974">
            <v>10917854</v>
          </cell>
          <cell r="AJ974">
            <v>0</v>
          </cell>
          <cell r="AK974">
            <v>0</v>
          </cell>
          <cell r="AL974">
            <v>0</v>
          </cell>
          <cell r="AM974">
            <v>13696559</v>
          </cell>
          <cell r="AN974">
            <v>78856599</v>
          </cell>
          <cell r="AO974">
            <v>94310008</v>
          </cell>
          <cell r="AP974">
            <v>267086</v>
          </cell>
          <cell r="AQ974">
            <v>47695743</v>
          </cell>
          <cell r="AR974">
            <v>19774030</v>
          </cell>
          <cell r="AS974">
            <v>677199</v>
          </cell>
          <cell r="AT974">
            <v>0</v>
          </cell>
          <cell r="AU974">
            <v>-1255765</v>
          </cell>
          <cell r="AV974">
            <v>40187230</v>
          </cell>
          <cell r="AW974">
            <v>28596282</v>
          </cell>
          <cell r="AX974">
            <v>0</v>
          </cell>
          <cell r="AY974">
            <v>0</v>
          </cell>
          <cell r="AZ974">
            <v>124</v>
          </cell>
        </row>
        <row r="975">
          <cell r="I975" t="str">
            <v>7920</v>
          </cell>
          <cell r="K975" t="str">
            <v>20</v>
          </cell>
          <cell r="N975" t="str">
            <v/>
          </cell>
          <cell r="O975" t="str">
            <v>F</v>
          </cell>
          <cell r="S975">
            <v>-522234</v>
          </cell>
          <cell r="Y975">
            <v>0</v>
          </cell>
          <cell r="AB975">
            <v>-255892</v>
          </cell>
          <cell r="AC975">
            <v>-63153</v>
          </cell>
          <cell r="AD975">
            <v>-29451</v>
          </cell>
          <cell r="AE975">
            <v>0</v>
          </cell>
          <cell r="AF975">
            <v>-90526</v>
          </cell>
          <cell r="AG975">
            <v>-902</v>
          </cell>
          <cell r="AH975">
            <v>-315</v>
          </cell>
          <cell r="AI975">
            <v>-3507</v>
          </cell>
          <cell r="AJ975">
            <v>0</v>
          </cell>
          <cell r="AK975">
            <v>0</v>
          </cell>
          <cell r="AL975">
            <v>0</v>
          </cell>
          <cell r="AM975">
            <v>-4422</v>
          </cell>
          <cell r="AN975">
            <v>-25367</v>
          </cell>
          <cell r="AO975">
            <v>-30156</v>
          </cell>
          <cell r="AP975">
            <v>-82</v>
          </cell>
          <cell r="AQ975">
            <v>-15417</v>
          </cell>
          <cell r="AR975">
            <v>-6281</v>
          </cell>
          <cell r="AS975">
            <v>-595</v>
          </cell>
          <cell r="AT975">
            <v>0</v>
          </cell>
          <cell r="AU975">
            <v>594</v>
          </cell>
          <cell r="AV975">
            <v>-12788</v>
          </cell>
          <cell r="AW975">
            <v>-9009</v>
          </cell>
          <cell r="AX975">
            <v>0</v>
          </cell>
          <cell r="AY975">
            <v>0</v>
          </cell>
          <cell r="AZ975">
            <v>4</v>
          </cell>
        </row>
        <row r="976">
          <cell r="I976" t="str">
            <v/>
          </cell>
          <cell r="K976" t="str">
            <v/>
          </cell>
          <cell r="N976" t="str">
            <v>A</v>
          </cell>
          <cell r="O976" t="str">
            <v>B</v>
          </cell>
          <cell r="S976">
            <v>0</v>
          </cell>
          <cell r="Y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</row>
        <row r="977">
          <cell r="I977" t="str">
            <v/>
          </cell>
          <cell r="K977" t="str">
            <v/>
          </cell>
          <cell r="N977" t="str">
            <v>B</v>
          </cell>
          <cell r="O977" t="str">
            <v>B</v>
          </cell>
          <cell r="S977">
            <v>0</v>
          </cell>
          <cell r="Y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</row>
        <row r="978">
          <cell r="I978" t="str">
            <v/>
          </cell>
          <cell r="K978" t="str">
            <v>10</v>
          </cell>
          <cell r="N978" t="str">
            <v>5</v>
          </cell>
          <cell r="O978" t="str">
            <v>B</v>
          </cell>
          <cell r="S978">
            <v>0</v>
          </cell>
          <cell r="Y978">
            <v>4344047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</row>
        <row r="979">
          <cell r="I979" t="str">
            <v/>
          </cell>
          <cell r="K979" t="str">
            <v>10</v>
          </cell>
          <cell r="N979" t="str">
            <v>Z</v>
          </cell>
          <cell r="O979" t="str">
            <v>B</v>
          </cell>
          <cell r="S979">
            <v>0</v>
          </cell>
          <cell r="Y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</row>
        <row r="980">
          <cell r="I980" t="str">
            <v>7920</v>
          </cell>
          <cell r="K980" t="str">
            <v>10</v>
          </cell>
          <cell r="N980" t="str">
            <v>1</v>
          </cell>
          <cell r="O980" t="str">
            <v>D</v>
          </cell>
          <cell r="S980">
            <v>0</v>
          </cell>
          <cell r="Y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</row>
        <row r="981">
          <cell r="I981" t="str">
            <v>7920</v>
          </cell>
          <cell r="K981" t="str">
            <v>10</v>
          </cell>
          <cell r="N981" t="str">
            <v>1</v>
          </cell>
          <cell r="O981" t="str">
            <v>D</v>
          </cell>
          <cell r="S981">
            <v>0</v>
          </cell>
          <cell r="Y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</row>
        <row r="982">
          <cell r="I982" t="str">
            <v>7920</v>
          </cell>
          <cell r="K982" t="str">
            <v>10</v>
          </cell>
          <cell r="N982" t="str">
            <v>1</v>
          </cell>
          <cell r="O982" t="str">
            <v>D</v>
          </cell>
          <cell r="S982">
            <v>0</v>
          </cell>
          <cell r="Y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</row>
        <row r="983">
          <cell r="I983" t="str">
            <v>7920</v>
          </cell>
          <cell r="K983" t="str">
            <v>20</v>
          </cell>
          <cell r="N983" t="str">
            <v>1</v>
          </cell>
          <cell r="O983" t="str">
            <v>D</v>
          </cell>
          <cell r="S983">
            <v>0</v>
          </cell>
          <cell r="Y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</row>
        <row r="984">
          <cell r="I984" t="str">
            <v>7920</v>
          </cell>
          <cell r="K984" t="str">
            <v>20</v>
          </cell>
          <cell r="N984" t="str">
            <v>1</v>
          </cell>
          <cell r="O984" t="str">
            <v>D</v>
          </cell>
          <cell r="S984">
            <v>0</v>
          </cell>
          <cell r="Y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</row>
        <row r="985">
          <cell r="I985" t="str">
            <v>7920</v>
          </cell>
          <cell r="K985" t="str">
            <v>20</v>
          </cell>
          <cell r="N985" t="str">
            <v>1</v>
          </cell>
          <cell r="O985" t="str">
            <v>D</v>
          </cell>
          <cell r="S985">
            <v>0</v>
          </cell>
          <cell r="Y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</row>
        <row r="986">
          <cell r="I986" t="str">
            <v>7920</v>
          </cell>
          <cell r="K986" t="str">
            <v>20</v>
          </cell>
          <cell r="N986" t="str">
            <v>1</v>
          </cell>
          <cell r="O986" t="str">
            <v>D</v>
          </cell>
          <cell r="S986">
            <v>0</v>
          </cell>
          <cell r="Y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</row>
        <row r="987">
          <cell r="I987" t="str">
            <v>7920</v>
          </cell>
          <cell r="K987" t="str">
            <v>20</v>
          </cell>
          <cell r="N987" t="str">
            <v>1</v>
          </cell>
          <cell r="O987" t="str">
            <v>D</v>
          </cell>
          <cell r="S987">
            <v>0</v>
          </cell>
          <cell r="Y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</row>
        <row r="988">
          <cell r="I988" t="str">
            <v>7920</v>
          </cell>
          <cell r="K988" t="str">
            <v>10</v>
          </cell>
          <cell r="N988" t="str">
            <v/>
          </cell>
          <cell r="O988" t="str">
            <v>F</v>
          </cell>
          <cell r="S988">
            <v>-2521260</v>
          </cell>
          <cell r="Y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</row>
        <row r="989">
          <cell r="I989" t="str">
            <v>7920</v>
          </cell>
          <cell r="K989" t="str">
            <v>10</v>
          </cell>
          <cell r="N989" t="str">
            <v/>
          </cell>
          <cell r="O989" t="str">
            <v>F</v>
          </cell>
          <cell r="S989">
            <v>404770905</v>
          </cell>
          <cell r="Y989">
            <v>0</v>
          </cell>
          <cell r="AB989">
            <v>164027343</v>
          </cell>
          <cell r="AC989">
            <v>22135689</v>
          </cell>
          <cell r="AD989">
            <v>49114420</v>
          </cell>
          <cell r="AE989">
            <v>57552779</v>
          </cell>
          <cell r="AF989">
            <v>0</v>
          </cell>
          <cell r="AG989">
            <v>5446578</v>
          </cell>
          <cell r="AH989">
            <v>5017394</v>
          </cell>
          <cell r="AI989">
            <v>1626119</v>
          </cell>
          <cell r="AJ989">
            <v>0</v>
          </cell>
          <cell r="AK989">
            <v>0</v>
          </cell>
          <cell r="AL989">
            <v>0</v>
          </cell>
          <cell r="AM989">
            <v>7118334</v>
          </cell>
          <cell r="AN989">
            <v>28917730</v>
          </cell>
          <cell r="AO989">
            <v>29312107</v>
          </cell>
          <cell r="AP989">
            <v>186937</v>
          </cell>
          <cell r="AQ989">
            <v>15557742</v>
          </cell>
          <cell r="AR989">
            <v>4990478</v>
          </cell>
          <cell r="AS989">
            <v>33191</v>
          </cell>
          <cell r="AT989">
            <v>0</v>
          </cell>
          <cell r="AU989">
            <v>-861160</v>
          </cell>
          <cell r="AV989">
            <v>9627477</v>
          </cell>
          <cell r="AW989">
            <v>4547905</v>
          </cell>
          <cell r="AX989">
            <v>1395835</v>
          </cell>
          <cell r="AY989">
            <v>0</v>
          </cell>
          <cell r="AZ989">
            <v>-7</v>
          </cell>
        </row>
        <row r="990">
          <cell r="I990" t="str">
            <v>7920</v>
          </cell>
          <cell r="K990" t="str">
            <v>10</v>
          </cell>
          <cell r="N990" t="str">
            <v/>
          </cell>
          <cell r="O990" t="str">
            <v>F</v>
          </cell>
          <cell r="S990">
            <v>-590646</v>
          </cell>
          <cell r="Y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</row>
        <row r="991">
          <cell r="I991" t="str">
            <v>7920</v>
          </cell>
          <cell r="K991" t="str">
            <v>10</v>
          </cell>
          <cell r="N991" t="str">
            <v/>
          </cell>
          <cell r="O991" t="str">
            <v>F</v>
          </cell>
          <cell r="S991">
            <v>94906728</v>
          </cell>
          <cell r="Y991">
            <v>0</v>
          </cell>
          <cell r="AB991">
            <v>39492389</v>
          </cell>
          <cell r="AC991">
            <v>5533078</v>
          </cell>
          <cell r="AD991">
            <v>10985018</v>
          </cell>
          <cell r="AE991">
            <v>13631681</v>
          </cell>
          <cell r="AF991">
            <v>0</v>
          </cell>
          <cell r="AG991">
            <v>1264307</v>
          </cell>
          <cell r="AH991">
            <v>1188104</v>
          </cell>
          <cell r="AI991">
            <v>379796</v>
          </cell>
          <cell r="AJ991">
            <v>0</v>
          </cell>
          <cell r="AK991">
            <v>0</v>
          </cell>
          <cell r="AL991">
            <v>0</v>
          </cell>
          <cell r="AM991">
            <v>1608622</v>
          </cell>
          <cell r="AN991">
            <v>6833852</v>
          </cell>
          <cell r="AO991">
            <v>6969249</v>
          </cell>
          <cell r="AP991">
            <v>69493</v>
          </cell>
          <cell r="AQ991">
            <v>3822549</v>
          </cell>
          <cell r="AR991">
            <v>1215330</v>
          </cell>
          <cell r="AS991">
            <v>16080</v>
          </cell>
          <cell r="AT991">
            <v>0</v>
          </cell>
          <cell r="AU991">
            <v>-310380</v>
          </cell>
          <cell r="AV991">
            <v>661902</v>
          </cell>
          <cell r="AW991">
            <v>1065141</v>
          </cell>
          <cell r="AX991">
            <v>285268</v>
          </cell>
          <cell r="AY991">
            <v>0</v>
          </cell>
          <cell r="AZ991">
            <v>0</v>
          </cell>
        </row>
        <row r="992">
          <cell r="I992" t="str">
            <v>7920</v>
          </cell>
          <cell r="K992" t="str">
            <v>10</v>
          </cell>
          <cell r="N992" t="str">
            <v/>
          </cell>
          <cell r="O992" t="str">
            <v>F</v>
          </cell>
          <cell r="S992">
            <v>-73080</v>
          </cell>
          <cell r="Y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</row>
        <row r="993">
          <cell r="I993" t="str">
            <v>7920</v>
          </cell>
          <cell r="K993" t="str">
            <v>10</v>
          </cell>
          <cell r="N993" t="str">
            <v/>
          </cell>
          <cell r="O993" t="str">
            <v>F</v>
          </cell>
          <cell r="S993">
            <v>11725596</v>
          </cell>
          <cell r="Y993">
            <v>0</v>
          </cell>
          <cell r="AB993">
            <v>5044315</v>
          </cell>
          <cell r="AC993">
            <v>600426</v>
          </cell>
          <cell r="AD993">
            <v>1415435</v>
          </cell>
          <cell r="AE993">
            <v>1670417</v>
          </cell>
          <cell r="AF993">
            <v>0</v>
          </cell>
          <cell r="AG993">
            <v>162021</v>
          </cell>
          <cell r="AH993">
            <v>145554</v>
          </cell>
          <cell r="AI993">
            <v>47191</v>
          </cell>
          <cell r="AJ993">
            <v>0</v>
          </cell>
          <cell r="AK993">
            <v>0</v>
          </cell>
          <cell r="AL993">
            <v>0</v>
          </cell>
          <cell r="AM993">
            <v>197257</v>
          </cell>
          <cell r="AN993">
            <v>824558</v>
          </cell>
          <cell r="AO993">
            <v>834957</v>
          </cell>
          <cell r="AP993">
            <v>10564</v>
          </cell>
          <cell r="AQ993">
            <v>464046</v>
          </cell>
          <cell r="AR993">
            <v>151637</v>
          </cell>
          <cell r="AS993">
            <v>1737</v>
          </cell>
          <cell r="AT993">
            <v>0</v>
          </cell>
          <cell r="AU993">
            <v>-34877</v>
          </cell>
          <cell r="AV993">
            <v>116596</v>
          </cell>
          <cell r="AW993">
            <v>126438</v>
          </cell>
          <cell r="AX993">
            <v>38977</v>
          </cell>
          <cell r="AY993">
            <v>0</v>
          </cell>
          <cell r="AZ993">
            <v>0</v>
          </cell>
        </row>
        <row r="994">
          <cell r="I994" t="str">
            <v>7920</v>
          </cell>
          <cell r="K994" t="str">
            <v>20</v>
          </cell>
          <cell r="N994" t="str">
            <v/>
          </cell>
          <cell r="O994" t="str">
            <v>F</v>
          </cell>
          <cell r="S994">
            <v>-6915427</v>
          </cell>
          <cell r="Y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</row>
        <row r="995">
          <cell r="I995" t="str">
            <v>7920</v>
          </cell>
          <cell r="K995" t="str">
            <v>20</v>
          </cell>
          <cell r="N995" t="str">
            <v/>
          </cell>
          <cell r="O995" t="str">
            <v>F</v>
          </cell>
          <cell r="S995">
            <v>1110270083</v>
          </cell>
          <cell r="Y995">
            <v>0</v>
          </cell>
          <cell r="AB995">
            <v>450102598</v>
          </cell>
          <cell r="AC995">
            <v>60714931</v>
          </cell>
          <cell r="AD995">
            <v>134906167</v>
          </cell>
          <cell r="AE995">
            <v>157868127</v>
          </cell>
          <cell r="AF995">
            <v>0</v>
          </cell>
          <cell r="AG995">
            <v>14940667</v>
          </cell>
          <cell r="AH995">
            <v>13755121</v>
          </cell>
          <cell r="AI995">
            <v>4460345</v>
          </cell>
          <cell r="AJ995">
            <v>0</v>
          </cell>
          <cell r="AK995">
            <v>0</v>
          </cell>
          <cell r="AL995">
            <v>0</v>
          </cell>
          <cell r="AM995">
            <v>19490292</v>
          </cell>
          <cell r="AN995">
            <v>79212880</v>
          </cell>
          <cell r="AO995">
            <v>80265238</v>
          </cell>
          <cell r="AP995">
            <v>526619</v>
          </cell>
          <cell r="AQ995">
            <v>42671296</v>
          </cell>
          <cell r="AR995">
            <v>13725256</v>
          </cell>
          <cell r="AS995">
            <v>91644</v>
          </cell>
          <cell r="AT995">
            <v>0</v>
          </cell>
          <cell r="AU995">
            <v>-2378047</v>
          </cell>
          <cell r="AV995">
            <v>26371197</v>
          </cell>
          <cell r="AW995">
            <v>12446441</v>
          </cell>
          <cell r="AX995">
            <v>3823085</v>
          </cell>
          <cell r="AY995">
            <v>0</v>
          </cell>
          <cell r="AZ995">
            <v>-19</v>
          </cell>
        </row>
        <row r="996">
          <cell r="I996" t="str">
            <v>7920</v>
          </cell>
          <cell r="K996" t="str">
            <v>20</v>
          </cell>
          <cell r="N996" t="str">
            <v/>
          </cell>
          <cell r="O996" t="str">
            <v>F</v>
          </cell>
          <cell r="S996">
            <v>-657668</v>
          </cell>
          <cell r="Y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</row>
        <row r="997">
          <cell r="I997" t="str">
            <v>7920</v>
          </cell>
          <cell r="K997" t="str">
            <v>20</v>
          </cell>
          <cell r="N997" t="str">
            <v/>
          </cell>
          <cell r="O997" t="str">
            <v>F</v>
          </cell>
          <cell r="S997">
            <v>117665776</v>
          </cell>
          <cell r="Y997">
            <v>0</v>
          </cell>
          <cell r="AB997">
            <v>53638796</v>
          </cell>
          <cell r="AC997">
            <v>7107749</v>
          </cell>
          <cell r="AD997">
            <v>13725962</v>
          </cell>
          <cell r="AE997">
            <v>17256293</v>
          </cell>
          <cell r="AF997">
            <v>0</v>
          </cell>
          <cell r="AG997">
            <v>1528948</v>
          </cell>
          <cell r="AH997">
            <v>1452404</v>
          </cell>
          <cell r="AI997">
            <v>465972</v>
          </cell>
          <cell r="AJ997">
            <v>0</v>
          </cell>
          <cell r="AK997">
            <v>0</v>
          </cell>
          <cell r="AL997">
            <v>0</v>
          </cell>
          <cell r="AM997">
            <v>1956255</v>
          </cell>
          <cell r="AN997">
            <v>8499346</v>
          </cell>
          <cell r="AO997">
            <v>8713113</v>
          </cell>
          <cell r="AP997">
            <v>156584</v>
          </cell>
          <cell r="AQ997">
            <v>4872766</v>
          </cell>
          <cell r="AR997">
            <v>1850856</v>
          </cell>
          <cell r="AS997">
            <v>17505</v>
          </cell>
          <cell r="AT997">
            <v>0</v>
          </cell>
          <cell r="AU997">
            <v>-338852</v>
          </cell>
          <cell r="AV997">
            <v>798662</v>
          </cell>
          <cell r="AW997">
            <v>1305883</v>
          </cell>
          <cell r="AX997">
            <v>325874</v>
          </cell>
          <cell r="AY997">
            <v>0</v>
          </cell>
          <cell r="AZ997">
            <v>0</v>
          </cell>
        </row>
        <row r="998">
          <cell r="I998" t="str">
            <v>7920</v>
          </cell>
          <cell r="K998" t="str">
            <v>20</v>
          </cell>
          <cell r="N998" t="str">
            <v/>
          </cell>
          <cell r="O998" t="str">
            <v>F</v>
          </cell>
          <cell r="S998">
            <v>-397300</v>
          </cell>
          <cell r="Y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</row>
        <row r="999">
          <cell r="I999" t="str">
            <v>7920</v>
          </cell>
          <cell r="K999" t="str">
            <v>20</v>
          </cell>
          <cell r="N999" t="str">
            <v/>
          </cell>
          <cell r="O999" t="str">
            <v>F</v>
          </cell>
          <cell r="S999">
            <v>63759735</v>
          </cell>
          <cell r="Y999">
            <v>0</v>
          </cell>
          <cell r="AB999">
            <v>28074889</v>
          </cell>
          <cell r="AC999">
            <v>3303841</v>
          </cell>
          <cell r="AD999">
            <v>7695555</v>
          </cell>
          <cell r="AE999">
            <v>9081910</v>
          </cell>
          <cell r="AF999">
            <v>0</v>
          </cell>
          <cell r="AG999">
            <v>888327</v>
          </cell>
          <cell r="AH999">
            <v>791349</v>
          </cell>
          <cell r="AI999">
            <v>256545</v>
          </cell>
          <cell r="AJ999">
            <v>0</v>
          </cell>
          <cell r="AK999">
            <v>0</v>
          </cell>
          <cell r="AL999">
            <v>0</v>
          </cell>
          <cell r="AM999">
            <v>1057900</v>
          </cell>
          <cell r="AN999">
            <v>4469788</v>
          </cell>
          <cell r="AO999">
            <v>4543778</v>
          </cell>
          <cell r="AP999">
            <v>68759</v>
          </cell>
          <cell r="AQ999">
            <v>2540547</v>
          </cell>
          <cell r="AR999">
            <v>843806</v>
          </cell>
          <cell r="AS999">
            <v>11577</v>
          </cell>
          <cell r="AT999">
            <v>0</v>
          </cell>
          <cell r="AU999">
            <v>-200770</v>
          </cell>
          <cell r="AV999">
            <v>626381</v>
          </cell>
          <cell r="AW999">
            <v>684123</v>
          </cell>
          <cell r="AX999">
            <v>208442</v>
          </cell>
          <cell r="AY999">
            <v>0</v>
          </cell>
          <cell r="AZ999">
            <v>0</v>
          </cell>
        </row>
        <row r="1000">
          <cell r="I1000" t="str">
            <v>7920</v>
          </cell>
          <cell r="K1000" t="str">
            <v>20</v>
          </cell>
          <cell r="N1000" t="str">
            <v/>
          </cell>
          <cell r="O1000" t="str">
            <v>F</v>
          </cell>
          <cell r="S1000">
            <v>-231057</v>
          </cell>
          <cell r="Y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</row>
        <row r="1001">
          <cell r="I1001" t="str">
            <v>7920</v>
          </cell>
          <cell r="K1001" t="str">
            <v>20</v>
          </cell>
          <cell r="N1001" t="str">
            <v/>
          </cell>
          <cell r="O1001" t="str">
            <v>F</v>
          </cell>
          <cell r="S1001">
            <v>38671066</v>
          </cell>
          <cell r="Y1001">
            <v>0</v>
          </cell>
          <cell r="AB1001">
            <v>22151819</v>
          </cell>
          <cell r="AC1001">
            <v>2810674</v>
          </cell>
          <cell r="AD1001">
            <v>4794950</v>
          </cell>
          <cell r="AE1001">
            <v>6249283</v>
          </cell>
          <cell r="AF1001">
            <v>0</v>
          </cell>
          <cell r="AG1001">
            <v>378944</v>
          </cell>
          <cell r="AH1001">
            <v>439531</v>
          </cell>
          <cell r="AI1001">
            <v>143955</v>
          </cell>
          <cell r="AJ1001">
            <v>0</v>
          </cell>
          <cell r="AK1001">
            <v>0</v>
          </cell>
          <cell r="AL1001">
            <v>0</v>
          </cell>
          <cell r="AM1001">
            <v>491854</v>
          </cell>
          <cell r="AN1001">
            <v>2801500</v>
          </cell>
          <cell r="AO1001">
            <v>3022098</v>
          </cell>
          <cell r="AP1001">
            <v>126746</v>
          </cell>
          <cell r="AQ1001">
            <v>1839537</v>
          </cell>
          <cell r="AR1001">
            <v>1020560</v>
          </cell>
          <cell r="AS1001">
            <v>10228</v>
          </cell>
          <cell r="AT1001">
            <v>0</v>
          </cell>
          <cell r="AU1001">
            <v>-95423</v>
          </cell>
          <cell r="AV1001">
            <v>280878</v>
          </cell>
          <cell r="AW1001">
            <v>394533</v>
          </cell>
          <cell r="AX1001">
            <v>76899</v>
          </cell>
          <cell r="AY1001">
            <v>0</v>
          </cell>
          <cell r="AZ1001">
            <v>0</v>
          </cell>
        </row>
        <row r="1002">
          <cell r="I1002" t="str">
            <v>7920</v>
          </cell>
          <cell r="K1002" t="str">
            <v>20</v>
          </cell>
          <cell r="N1002" t="str">
            <v/>
          </cell>
          <cell r="O1002" t="str">
            <v>F</v>
          </cell>
          <cell r="S1002">
            <v>-28422</v>
          </cell>
          <cell r="Y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</row>
        <row r="1003">
          <cell r="I1003" t="str">
            <v>7920</v>
          </cell>
          <cell r="K1003" t="str">
            <v>20</v>
          </cell>
          <cell r="N1003" t="str">
            <v/>
          </cell>
          <cell r="O1003" t="str">
            <v>F</v>
          </cell>
          <cell r="S1003">
            <v>4762913</v>
          </cell>
          <cell r="Y1003">
            <v>0</v>
          </cell>
          <cell r="AB1003">
            <v>2692539</v>
          </cell>
          <cell r="AC1003">
            <v>368027</v>
          </cell>
          <cell r="AD1003">
            <v>571179</v>
          </cell>
          <cell r="AE1003">
            <v>769240</v>
          </cell>
          <cell r="AF1003">
            <v>0</v>
          </cell>
          <cell r="AG1003">
            <v>47423</v>
          </cell>
          <cell r="AH1003">
            <v>54105</v>
          </cell>
          <cell r="AI1003">
            <v>17730</v>
          </cell>
          <cell r="AJ1003">
            <v>0</v>
          </cell>
          <cell r="AK1003">
            <v>0</v>
          </cell>
          <cell r="AL1003">
            <v>0</v>
          </cell>
          <cell r="AM1003">
            <v>64052</v>
          </cell>
          <cell r="AN1003">
            <v>359049</v>
          </cell>
          <cell r="AO1003">
            <v>395707</v>
          </cell>
          <cell r="AP1003">
            <v>14190</v>
          </cell>
          <cell r="AQ1003">
            <v>225919</v>
          </cell>
          <cell r="AR1003">
            <v>123186</v>
          </cell>
          <cell r="AS1003">
            <v>1020</v>
          </cell>
          <cell r="AT1003">
            <v>0</v>
          </cell>
          <cell r="AU1003">
            <v>-9205</v>
          </cell>
          <cell r="AV1003">
            <v>36377</v>
          </cell>
          <cell r="AW1003">
            <v>53486</v>
          </cell>
          <cell r="AX1003">
            <v>9753</v>
          </cell>
          <cell r="AY1003">
            <v>0</v>
          </cell>
          <cell r="AZ1003">
            <v>0</v>
          </cell>
        </row>
        <row r="1004">
          <cell r="I1004" t="str">
            <v/>
          </cell>
          <cell r="K1004" t="str">
            <v/>
          </cell>
          <cell r="N1004" t="str">
            <v>1</v>
          </cell>
          <cell r="O1004" t="str">
            <v>B</v>
          </cell>
          <cell r="S1004">
            <v>0</v>
          </cell>
          <cell r="Y1004">
            <v>151250772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</row>
        <row r="1005">
          <cell r="I1005" t="str">
            <v/>
          </cell>
          <cell r="K1005" t="str">
            <v/>
          </cell>
          <cell r="N1005" t="str">
            <v>A</v>
          </cell>
          <cell r="O1005" t="str">
            <v>B</v>
          </cell>
          <cell r="S1005">
            <v>0</v>
          </cell>
          <cell r="Y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</row>
        <row r="1006">
          <cell r="I1006" t="str">
            <v/>
          </cell>
          <cell r="K1006" t="str">
            <v/>
          </cell>
          <cell r="N1006" t="str">
            <v>B</v>
          </cell>
          <cell r="O1006" t="str">
            <v>B</v>
          </cell>
          <cell r="S1006">
            <v>0</v>
          </cell>
          <cell r="Y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</row>
        <row r="1007">
          <cell r="I1007" t="str">
            <v/>
          </cell>
          <cell r="K1007" t="str">
            <v/>
          </cell>
          <cell r="N1007" t="str">
            <v>C</v>
          </cell>
          <cell r="O1007" t="str">
            <v>B</v>
          </cell>
          <cell r="S1007">
            <v>0</v>
          </cell>
          <cell r="Y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</row>
        <row r="1008">
          <cell r="I1008" t="str">
            <v/>
          </cell>
          <cell r="K1008" t="str">
            <v/>
          </cell>
          <cell r="N1008" t="str">
            <v>F</v>
          </cell>
          <cell r="O1008" t="str">
            <v>B</v>
          </cell>
          <cell r="S1008">
            <v>0</v>
          </cell>
          <cell r="Y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</row>
        <row r="1009">
          <cell r="I1009" t="str">
            <v/>
          </cell>
          <cell r="K1009" t="str">
            <v/>
          </cell>
          <cell r="N1009" t="str">
            <v>G</v>
          </cell>
          <cell r="O1009" t="str">
            <v>B</v>
          </cell>
          <cell r="S1009">
            <v>0</v>
          </cell>
          <cell r="Y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</row>
        <row r="1010">
          <cell r="I1010" t="str">
            <v/>
          </cell>
          <cell r="K1010" t="str">
            <v/>
          </cell>
          <cell r="N1010" t="str">
            <v>Z</v>
          </cell>
          <cell r="O1010" t="str">
            <v>B</v>
          </cell>
          <cell r="S1010">
            <v>0</v>
          </cell>
          <cell r="Y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</row>
        <row r="1011">
          <cell r="I1011" t="str">
            <v/>
          </cell>
          <cell r="K1011" t="str">
            <v>10</v>
          </cell>
          <cell r="N1011" t="str">
            <v>4</v>
          </cell>
          <cell r="O1011" t="str">
            <v>B</v>
          </cell>
          <cell r="S1011">
            <v>0</v>
          </cell>
          <cell r="Y1011">
            <v>2274499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</row>
        <row r="1012">
          <cell r="I1012" t="str">
            <v/>
          </cell>
          <cell r="K1012" t="str">
            <v>10</v>
          </cell>
          <cell r="N1012" t="str">
            <v>5</v>
          </cell>
          <cell r="O1012" t="str">
            <v>B</v>
          </cell>
          <cell r="S1012">
            <v>0</v>
          </cell>
          <cell r="Y1012">
            <v>22299200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</row>
        <row r="1013">
          <cell r="I1013" t="str">
            <v/>
          </cell>
          <cell r="K1013" t="str">
            <v>10</v>
          </cell>
          <cell r="N1013" t="str">
            <v>Z</v>
          </cell>
          <cell r="O1013" t="str">
            <v>B</v>
          </cell>
          <cell r="S1013">
            <v>0</v>
          </cell>
          <cell r="Y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</row>
        <row r="1014">
          <cell r="I1014" t="str">
            <v/>
          </cell>
          <cell r="K1014" t="str">
            <v>92</v>
          </cell>
          <cell r="N1014" t="str">
            <v>3</v>
          </cell>
          <cell r="O1014" t="str">
            <v>B</v>
          </cell>
          <cell r="S1014">
            <v>0</v>
          </cell>
          <cell r="Y1014">
            <v>550121300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</row>
        <row r="1015">
          <cell r="I1015" t="str">
            <v>7900</v>
          </cell>
          <cell r="K1015" t="str">
            <v>10</v>
          </cell>
          <cell r="N1015" t="str">
            <v>1</v>
          </cell>
          <cell r="O1015" t="str">
            <v>D</v>
          </cell>
          <cell r="S1015">
            <v>0</v>
          </cell>
          <cell r="Y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</row>
        <row r="1016">
          <cell r="I1016" t="str">
            <v>7900</v>
          </cell>
          <cell r="K1016" t="str">
            <v>10</v>
          </cell>
          <cell r="N1016" t="str">
            <v/>
          </cell>
          <cell r="O1016" t="str">
            <v>F</v>
          </cell>
          <cell r="S1016">
            <v>10327925</v>
          </cell>
          <cell r="Y1016">
            <v>0</v>
          </cell>
          <cell r="AB1016">
            <v>8726089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355163</v>
          </cell>
          <cell r="AN1016">
            <v>405956</v>
          </cell>
          <cell r="AO1016">
            <v>170509</v>
          </cell>
          <cell r="AP1016">
            <v>6902</v>
          </cell>
          <cell r="AQ1016">
            <v>262838</v>
          </cell>
          <cell r="AR1016">
            <v>232101</v>
          </cell>
          <cell r="AS1016">
            <v>408</v>
          </cell>
          <cell r="AT1016">
            <v>0</v>
          </cell>
          <cell r="AU1016">
            <v>-9537</v>
          </cell>
          <cell r="AV1016">
            <v>0</v>
          </cell>
          <cell r="AW1016">
            <v>201066</v>
          </cell>
          <cell r="AX1016">
            <v>0</v>
          </cell>
          <cell r="AY1016">
            <v>0</v>
          </cell>
          <cell r="AZ1016">
            <v>3</v>
          </cell>
        </row>
        <row r="1017">
          <cell r="I1017" t="str">
            <v>7900</v>
          </cell>
          <cell r="K1017" t="str">
            <v>10</v>
          </cell>
          <cell r="N1017" t="str">
            <v/>
          </cell>
          <cell r="O1017" t="str">
            <v>F</v>
          </cell>
          <cell r="S1017">
            <v>135413800</v>
          </cell>
          <cell r="Y1017">
            <v>0</v>
          </cell>
          <cell r="AB1017">
            <v>114619291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4665226</v>
          </cell>
          <cell r="AN1017">
            <v>5332374</v>
          </cell>
          <cell r="AO1017">
            <v>2239549</v>
          </cell>
          <cell r="AP1017">
            <v>90639</v>
          </cell>
          <cell r="AQ1017">
            <v>3452413</v>
          </cell>
          <cell r="AR1017">
            <v>3048703</v>
          </cell>
          <cell r="AS1017">
            <v>5363</v>
          </cell>
          <cell r="AT1017">
            <v>0</v>
          </cell>
          <cell r="AU1017">
            <v>-125314</v>
          </cell>
          <cell r="AV1017">
            <v>0</v>
          </cell>
          <cell r="AW1017">
            <v>2640974</v>
          </cell>
          <cell r="AX1017">
            <v>0</v>
          </cell>
          <cell r="AY1017">
            <v>0</v>
          </cell>
          <cell r="AZ1017">
            <v>-13</v>
          </cell>
        </row>
        <row r="1018">
          <cell r="I1018" t="str">
            <v>3100</v>
          </cell>
          <cell r="K1018" t="str">
            <v>10</v>
          </cell>
          <cell r="N1018" t="str">
            <v>1</v>
          </cell>
          <cell r="O1018" t="str">
            <v>D</v>
          </cell>
          <cell r="S1018">
            <v>0</v>
          </cell>
          <cell r="Y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</row>
        <row r="1019">
          <cell r="I1019" t="str">
            <v>3100</v>
          </cell>
          <cell r="K1019" t="str">
            <v>10</v>
          </cell>
          <cell r="N1019" t="str">
            <v>1</v>
          </cell>
          <cell r="O1019" t="str">
            <v>D</v>
          </cell>
          <cell r="S1019">
            <v>0</v>
          </cell>
          <cell r="Y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</row>
        <row r="1020">
          <cell r="I1020" t="str">
            <v>7900</v>
          </cell>
          <cell r="K1020" t="str">
            <v>10</v>
          </cell>
          <cell r="N1020" t="str">
            <v>1</v>
          </cell>
          <cell r="O1020" t="str">
            <v>D</v>
          </cell>
          <cell r="S1020">
            <v>0</v>
          </cell>
          <cell r="Y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</row>
        <row r="1021">
          <cell r="I1021" t="str">
            <v>3100</v>
          </cell>
          <cell r="K1021" t="str">
            <v>10</v>
          </cell>
          <cell r="N1021" t="str">
            <v/>
          </cell>
          <cell r="O1021" t="str">
            <v>F</v>
          </cell>
          <cell r="S1021">
            <v>3245200</v>
          </cell>
          <cell r="Y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3707668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</row>
        <row r="1022">
          <cell r="I1022" t="str">
            <v>3100</v>
          </cell>
          <cell r="K1022" t="str">
            <v>10</v>
          </cell>
          <cell r="N1022" t="str">
            <v/>
          </cell>
          <cell r="O1022" t="str">
            <v>F</v>
          </cell>
          <cell r="S1022">
            <v>-811300</v>
          </cell>
          <cell r="Y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-926918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</row>
        <row r="1023">
          <cell r="I1023" t="str">
            <v>3100</v>
          </cell>
          <cell r="K1023" t="str">
            <v>10</v>
          </cell>
          <cell r="N1023" t="str">
            <v/>
          </cell>
          <cell r="O1023" t="str">
            <v>F</v>
          </cell>
          <cell r="S1023">
            <v>8096400</v>
          </cell>
          <cell r="Y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8792900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</row>
        <row r="1024">
          <cell r="I1024" t="str">
            <v>7900</v>
          </cell>
          <cell r="K1024" t="str">
            <v>10</v>
          </cell>
          <cell r="N1024" t="str">
            <v/>
          </cell>
          <cell r="O1024" t="str">
            <v>F</v>
          </cell>
          <cell r="S1024">
            <v>133871040</v>
          </cell>
          <cell r="Y1024">
            <v>0</v>
          </cell>
          <cell r="AB1024">
            <v>133400102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4117583</v>
          </cell>
          <cell r="AN1024">
            <v>3406531</v>
          </cell>
          <cell r="AO1024">
            <v>1389318</v>
          </cell>
          <cell r="AP1024">
            <v>42019</v>
          </cell>
          <cell r="AQ1024">
            <v>2126803</v>
          </cell>
          <cell r="AR1024">
            <v>1864779</v>
          </cell>
          <cell r="AS1024">
            <v>6889</v>
          </cell>
          <cell r="AT1024">
            <v>0</v>
          </cell>
          <cell r="AU1024">
            <v>-132629</v>
          </cell>
          <cell r="AV1024">
            <v>4924346</v>
          </cell>
          <cell r="AW1024">
            <v>1817003</v>
          </cell>
          <cell r="AX1024">
            <v>0</v>
          </cell>
          <cell r="AY1024">
            <v>0</v>
          </cell>
          <cell r="AZ1024">
            <v>0</v>
          </cell>
        </row>
        <row r="1025">
          <cell r="I1025" t="str">
            <v>3100</v>
          </cell>
          <cell r="K1025" t="str">
            <v>10</v>
          </cell>
          <cell r="N1025" t="str">
            <v>1</v>
          </cell>
          <cell r="O1025" t="str">
            <v>D</v>
          </cell>
          <cell r="S1025">
            <v>0</v>
          </cell>
          <cell r="Y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</row>
        <row r="1026">
          <cell r="I1026" t="str">
            <v>7900</v>
          </cell>
          <cell r="K1026" t="str">
            <v>10</v>
          </cell>
          <cell r="N1026" t="str">
            <v>1</v>
          </cell>
          <cell r="O1026" t="str">
            <v>D</v>
          </cell>
          <cell r="S1026">
            <v>0</v>
          </cell>
          <cell r="Y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</row>
        <row r="1027">
          <cell r="I1027" t="str">
            <v>3100</v>
          </cell>
          <cell r="K1027" t="str">
            <v>10</v>
          </cell>
          <cell r="N1027" t="str">
            <v/>
          </cell>
          <cell r="O1027" t="str">
            <v>F</v>
          </cell>
          <cell r="S1027">
            <v>110614500</v>
          </cell>
          <cell r="Y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87604200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</row>
        <row r="1028">
          <cell r="I1028" t="str">
            <v>7900</v>
          </cell>
          <cell r="K1028" t="str">
            <v>10</v>
          </cell>
          <cell r="N1028" t="str">
            <v/>
          </cell>
          <cell r="O1028" t="str">
            <v>F</v>
          </cell>
          <cell r="S1028">
            <v>157778080</v>
          </cell>
          <cell r="Y1028">
            <v>0</v>
          </cell>
          <cell r="AB1028">
            <v>129622129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917</v>
          </cell>
          <cell r="AJ1028">
            <v>0</v>
          </cell>
          <cell r="AK1028">
            <v>0</v>
          </cell>
          <cell r="AL1028">
            <v>0</v>
          </cell>
          <cell r="AM1028">
            <v>5996883</v>
          </cell>
          <cell r="AN1028">
            <v>4564571</v>
          </cell>
          <cell r="AO1028">
            <v>1821661</v>
          </cell>
          <cell r="AP1028">
            <v>104540</v>
          </cell>
          <cell r="AQ1028">
            <v>2973045</v>
          </cell>
          <cell r="AR1028">
            <v>2451583</v>
          </cell>
          <cell r="AS1028">
            <v>26344</v>
          </cell>
          <cell r="AT1028">
            <v>0</v>
          </cell>
          <cell r="AU1028">
            <v>-131826</v>
          </cell>
          <cell r="AV1028">
            <v>6061666</v>
          </cell>
          <cell r="AW1028">
            <v>2232344</v>
          </cell>
          <cell r="AX1028">
            <v>0</v>
          </cell>
          <cell r="AY1028">
            <v>0</v>
          </cell>
          <cell r="AZ1028">
            <v>0</v>
          </cell>
        </row>
        <row r="1029">
          <cell r="I1029" t="str">
            <v>7920</v>
          </cell>
          <cell r="K1029" t="str">
            <v>10</v>
          </cell>
          <cell r="N1029" t="str">
            <v>1</v>
          </cell>
          <cell r="O1029" t="str">
            <v>D</v>
          </cell>
          <cell r="S1029">
            <v>0</v>
          </cell>
          <cell r="Y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</row>
        <row r="1030">
          <cell r="I1030" t="str">
            <v>7920</v>
          </cell>
          <cell r="K1030" t="str">
            <v>10</v>
          </cell>
          <cell r="N1030" t="str">
            <v>1</v>
          </cell>
          <cell r="O1030" t="str">
            <v>D</v>
          </cell>
          <cell r="S1030">
            <v>0</v>
          </cell>
          <cell r="Y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</row>
        <row r="1031">
          <cell r="I1031" t="str">
            <v>7920</v>
          </cell>
          <cell r="K1031" t="str">
            <v>10</v>
          </cell>
          <cell r="N1031" t="str">
            <v>1</v>
          </cell>
          <cell r="O1031" t="str">
            <v>D</v>
          </cell>
          <cell r="S1031">
            <v>0</v>
          </cell>
          <cell r="Y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</row>
        <row r="1032">
          <cell r="I1032" t="str">
            <v>7920</v>
          </cell>
          <cell r="K1032" t="str">
            <v>20</v>
          </cell>
          <cell r="N1032" t="str">
            <v>1</v>
          </cell>
          <cell r="O1032" t="str">
            <v>D</v>
          </cell>
          <cell r="S1032">
            <v>0</v>
          </cell>
          <cell r="Y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</row>
        <row r="1033">
          <cell r="I1033" t="str">
            <v>7920</v>
          </cell>
          <cell r="K1033" t="str">
            <v>20</v>
          </cell>
          <cell r="N1033" t="str">
            <v>1</v>
          </cell>
          <cell r="O1033" t="str">
            <v>D</v>
          </cell>
          <cell r="S1033">
            <v>0</v>
          </cell>
          <cell r="Y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</row>
        <row r="1034">
          <cell r="I1034" t="str">
            <v>7920</v>
          </cell>
          <cell r="K1034" t="str">
            <v>20</v>
          </cell>
          <cell r="N1034" t="str">
            <v>1</v>
          </cell>
          <cell r="O1034" t="str">
            <v>D</v>
          </cell>
          <cell r="S1034">
            <v>0</v>
          </cell>
          <cell r="Y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</row>
        <row r="1035">
          <cell r="I1035" t="str">
            <v>7920</v>
          </cell>
          <cell r="K1035" t="str">
            <v>20</v>
          </cell>
          <cell r="N1035" t="str">
            <v>1</v>
          </cell>
          <cell r="O1035" t="str">
            <v>D</v>
          </cell>
          <cell r="S1035">
            <v>0</v>
          </cell>
          <cell r="Y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</row>
        <row r="1036">
          <cell r="I1036" t="str">
            <v>7920</v>
          </cell>
          <cell r="K1036" t="str">
            <v>20</v>
          </cell>
          <cell r="N1036" t="str">
            <v>1</v>
          </cell>
          <cell r="O1036" t="str">
            <v>D</v>
          </cell>
          <cell r="S1036">
            <v>0</v>
          </cell>
          <cell r="Y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</row>
        <row r="1037">
          <cell r="I1037" t="str">
            <v>7920</v>
          </cell>
          <cell r="K1037" t="str">
            <v>10</v>
          </cell>
          <cell r="N1037" t="str">
            <v/>
          </cell>
          <cell r="O1037" t="str">
            <v>F</v>
          </cell>
          <cell r="S1037">
            <v>2089752</v>
          </cell>
          <cell r="Y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</row>
        <row r="1038">
          <cell r="I1038" t="str">
            <v>7920</v>
          </cell>
          <cell r="K1038" t="str">
            <v>10</v>
          </cell>
          <cell r="N1038" t="str">
            <v/>
          </cell>
          <cell r="O1038" t="str">
            <v>F</v>
          </cell>
          <cell r="S1038">
            <v>276543026</v>
          </cell>
          <cell r="Y1038">
            <v>0</v>
          </cell>
          <cell r="AB1038">
            <v>42671481</v>
          </cell>
          <cell r="AC1038">
            <v>16040027</v>
          </cell>
          <cell r="AD1038">
            <v>58610838</v>
          </cell>
          <cell r="AE1038">
            <v>60014816</v>
          </cell>
          <cell r="AF1038">
            <v>0</v>
          </cell>
          <cell r="AG1038">
            <v>11302749</v>
          </cell>
          <cell r="AH1038">
            <v>392420</v>
          </cell>
          <cell r="AI1038">
            <v>403341</v>
          </cell>
          <cell r="AJ1038">
            <v>0</v>
          </cell>
          <cell r="AK1038">
            <v>0</v>
          </cell>
          <cell r="AL1038">
            <v>0</v>
          </cell>
          <cell r="AM1038">
            <v>1840132</v>
          </cell>
          <cell r="AN1038">
            <v>13164523</v>
          </cell>
          <cell r="AO1038">
            <v>16148209</v>
          </cell>
          <cell r="AP1038">
            <v>82542</v>
          </cell>
          <cell r="AQ1038">
            <v>7629314</v>
          </cell>
          <cell r="AR1038">
            <v>8558898</v>
          </cell>
          <cell r="AS1038">
            <v>3470</v>
          </cell>
          <cell r="AT1038">
            <v>0</v>
          </cell>
          <cell r="AU1038">
            <v>-185030</v>
          </cell>
          <cell r="AV1038">
            <v>5194143</v>
          </cell>
          <cell r="AW1038">
            <v>1725521</v>
          </cell>
          <cell r="AX1038">
            <v>284072</v>
          </cell>
          <cell r="AY1038">
            <v>0</v>
          </cell>
          <cell r="AZ1038">
            <v>0</v>
          </cell>
        </row>
        <row r="1039">
          <cell r="I1039" t="str">
            <v>7920</v>
          </cell>
          <cell r="K1039" t="str">
            <v>10</v>
          </cell>
          <cell r="N1039" t="str">
            <v/>
          </cell>
          <cell r="O1039" t="str">
            <v>F</v>
          </cell>
          <cell r="S1039">
            <v>376890</v>
          </cell>
          <cell r="Y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</row>
        <row r="1040">
          <cell r="I1040" t="str">
            <v>7920</v>
          </cell>
          <cell r="K1040" t="str">
            <v>10</v>
          </cell>
          <cell r="N1040" t="str">
            <v/>
          </cell>
          <cell r="O1040" t="str">
            <v>F</v>
          </cell>
          <cell r="S1040">
            <v>126975618</v>
          </cell>
          <cell r="Y1040">
            <v>0</v>
          </cell>
          <cell r="AB1040">
            <v>21078978</v>
          </cell>
          <cell r="AC1040">
            <v>3395346</v>
          </cell>
          <cell r="AD1040">
            <v>25261827</v>
          </cell>
          <cell r="AE1040">
            <v>32000392</v>
          </cell>
          <cell r="AF1040">
            <v>0</v>
          </cell>
          <cell r="AG1040">
            <v>7980883</v>
          </cell>
          <cell r="AH1040">
            <v>0</v>
          </cell>
          <cell r="AI1040">
            <v>242296</v>
          </cell>
          <cell r="AJ1040">
            <v>0</v>
          </cell>
          <cell r="AK1040">
            <v>0</v>
          </cell>
          <cell r="AL1040">
            <v>0</v>
          </cell>
          <cell r="AM1040">
            <v>653172</v>
          </cell>
          <cell r="AN1040">
            <v>6924197</v>
          </cell>
          <cell r="AO1040">
            <v>8605584</v>
          </cell>
          <cell r="AP1040">
            <v>108914</v>
          </cell>
          <cell r="AQ1040">
            <v>4268810</v>
          </cell>
          <cell r="AR1040">
            <v>5235322</v>
          </cell>
          <cell r="AS1040">
            <v>16367</v>
          </cell>
          <cell r="AT1040">
            <v>0</v>
          </cell>
          <cell r="AU1040">
            <v>-112557</v>
          </cell>
          <cell r="AV1040">
            <v>305350</v>
          </cell>
          <cell r="AW1040">
            <v>946242</v>
          </cell>
          <cell r="AX1040">
            <v>106485</v>
          </cell>
          <cell r="AY1040">
            <v>0</v>
          </cell>
          <cell r="AZ1040">
            <v>0</v>
          </cell>
        </row>
        <row r="1041">
          <cell r="I1041" t="str">
            <v>7920</v>
          </cell>
          <cell r="K1041" t="str">
            <v>10</v>
          </cell>
          <cell r="N1041" t="str">
            <v/>
          </cell>
          <cell r="O1041" t="str">
            <v>F</v>
          </cell>
          <cell r="S1041">
            <v>932234</v>
          </cell>
          <cell r="Y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</row>
        <row r="1042">
          <cell r="I1042" t="str">
            <v>7920</v>
          </cell>
          <cell r="K1042" t="str">
            <v>10</v>
          </cell>
          <cell r="N1042" t="str">
            <v/>
          </cell>
          <cell r="O1042" t="str">
            <v>F</v>
          </cell>
          <cell r="S1042">
            <v>126569664</v>
          </cell>
          <cell r="Y1042">
            <v>0</v>
          </cell>
          <cell r="AB1042">
            <v>20073932</v>
          </cell>
          <cell r="AC1042">
            <v>6521939</v>
          </cell>
          <cell r="AD1042">
            <v>27015875</v>
          </cell>
          <cell r="AE1042">
            <v>25336366</v>
          </cell>
          <cell r="AF1042">
            <v>0</v>
          </cell>
          <cell r="AG1042">
            <v>7285818</v>
          </cell>
          <cell r="AH1042">
            <v>456076</v>
          </cell>
          <cell r="AI1042">
            <v>167938</v>
          </cell>
          <cell r="AJ1042">
            <v>0</v>
          </cell>
          <cell r="AK1042">
            <v>0</v>
          </cell>
          <cell r="AL1042">
            <v>0</v>
          </cell>
          <cell r="AM1042">
            <v>871699</v>
          </cell>
          <cell r="AN1042">
            <v>7446368</v>
          </cell>
          <cell r="AO1042">
            <v>9337901</v>
          </cell>
          <cell r="AP1042">
            <v>54386</v>
          </cell>
          <cell r="AQ1042">
            <v>4441712</v>
          </cell>
          <cell r="AR1042">
            <v>5483417</v>
          </cell>
          <cell r="AS1042">
            <v>5615</v>
          </cell>
          <cell r="AT1042">
            <v>0</v>
          </cell>
          <cell r="AU1042">
            <v>-104917</v>
          </cell>
          <cell r="AV1042">
            <v>74530</v>
          </cell>
          <cell r="AW1042">
            <v>1113634</v>
          </cell>
          <cell r="AX1042">
            <v>121601</v>
          </cell>
          <cell r="AY1042">
            <v>0</v>
          </cell>
          <cell r="AZ1042">
            <v>0</v>
          </cell>
        </row>
        <row r="1043">
          <cell r="I1043" t="str">
            <v>7920</v>
          </cell>
          <cell r="K1043" t="str">
            <v>20</v>
          </cell>
          <cell r="N1043" t="str">
            <v/>
          </cell>
          <cell r="O1043" t="str">
            <v>F</v>
          </cell>
          <cell r="S1043">
            <v>16884371</v>
          </cell>
          <cell r="Y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</row>
        <row r="1044">
          <cell r="I1044" t="str">
            <v>7920</v>
          </cell>
          <cell r="K1044" t="str">
            <v>20</v>
          </cell>
          <cell r="N1044" t="str">
            <v/>
          </cell>
          <cell r="O1044" t="str">
            <v>F</v>
          </cell>
          <cell r="S1044">
            <v>2176332160</v>
          </cell>
          <cell r="Y1044">
            <v>0</v>
          </cell>
          <cell r="AB1044">
            <v>334826135</v>
          </cell>
          <cell r="AC1044">
            <v>122068652</v>
          </cell>
          <cell r="AD1044">
            <v>458740441</v>
          </cell>
          <cell r="AE1044">
            <v>473463101</v>
          </cell>
          <cell r="AF1044">
            <v>0</v>
          </cell>
          <cell r="AG1044">
            <v>108201391</v>
          </cell>
          <cell r="AH1044">
            <v>3083031</v>
          </cell>
          <cell r="AI1044">
            <v>3156872</v>
          </cell>
          <cell r="AJ1044">
            <v>0</v>
          </cell>
          <cell r="AK1044">
            <v>0</v>
          </cell>
          <cell r="AL1044">
            <v>0</v>
          </cell>
          <cell r="AM1044">
            <v>14296870</v>
          </cell>
          <cell r="AN1044">
            <v>103442949</v>
          </cell>
          <cell r="AO1044">
            <v>126570542</v>
          </cell>
          <cell r="AP1044">
            <v>690030</v>
          </cell>
          <cell r="AQ1044">
            <v>60307772</v>
          </cell>
          <cell r="AR1044">
            <v>66636339</v>
          </cell>
          <cell r="AS1044">
            <v>30495</v>
          </cell>
          <cell r="AT1044">
            <v>0</v>
          </cell>
          <cell r="AU1044">
            <v>-1575346</v>
          </cell>
          <cell r="AV1044">
            <v>40730017</v>
          </cell>
          <cell r="AW1044">
            <v>13413010</v>
          </cell>
          <cell r="AX1044">
            <v>2217342</v>
          </cell>
          <cell r="AY1044">
            <v>0</v>
          </cell>
          <cell r="AZ1044">
            <v>0</v>
          </cell>
        </row>
        <row r="1045">
          <cell r="I1045" t="str">
            <v>7920</v>
          </cell>
          <cell r="K1045" t="str">
            <v>20</v>
          </cell>
          <cell r="N1045" t="str">
            <v/>
          </cell>
          <cell r="O1045" t="str">
            <v>F</v>
          </cell>
          <cell r="S1045">
            <v>695170</v>
          </cell>
          <cell r="Y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</row>
        <row r="1046">
          <cell r="I1046" t="str">
            <v>7920</v>
          </cell>
          <cell r="K1046" t="str">
            <v>20</v>
          </cell>
          <cell r="N1046" t="str">
            <v/>
          </cell>
          <cell r="O1046" t="str">
            <v>F</v>
          </cell>
          <cell r="S1046">
            <v>148064994</v>
          </cell>
          <cell r="Y1046">
            <v>0</v>
          </cell>
          <cell r="AB1046">
            <v>24579983</v>
          </cell>
          <cell r="AC1046">
            <v>3959282</v>
          </cell>
          <cell r="AD1046">
            <v>29457564</v>
          </cell>
          <cell r="AE1046">
            <v>37315335</v>
          </cell>
          <cell r="AF1046">
            <v>0</v>
          </cell>
          <cell r="AG1046">
            <v>9306429</v>
          </cell>
          <cell r="AH1046">
            <v>0</v>
          </cell>
          <cell r="AI1046">
            <v>282540</v>
          </cell>
          <cell r="AJ1046">
            <v>0</v>
          </cell>
          <cell r="AK1046">
            <v>0</v>
          </cell>
          <cell r="AL1046">
            <v>0</v>
          </cell>
          <cell r="AM1046">
            <v>761656</v>
          </cell>
          <cell r="AN1046">
            <v>8074238</v>
          </cell>
          <cell r="AO1046">
            <v>10034886</v>
          </cell>
          <cell r="AP1046">
            <v>127004</v>
          </cell>
          <cell r="AQ1046">
            <v>4977819</v>
          </cell>
          <cell r="AR1046">
            <v>6104856</v>
          </cell>
          <cell r="AS1046">
            <v>19086</v>
          </cell>
          <cell r="AT1046">
            <v>0</v>
          </cell>
          <cell r="AU1046">
            <v>-131253</v>
          </cell>
          <cell r="AV1046">
            <v>356065</v>
          </cell>
          <cell r="AW1046">
            <v>1103405</v>
          </cell>
          <cell r="AX1046">
            <v>124171</v>
          </cell>
          <cell r="AY1046">
            <v>0</v>
          </cell>
          <cell r="AZ1046">
            <v>0</v>
          </cell>
        </row>
        <row r="1047">
          <cell r="I1047" t="str">
            <v>7920</v>
          </cell>
          <cell r="K1047" t="str">
            <v>20</v>
          </cell>
          <cell r="N1047" t="str">
            <v/>
          </cell>
          <cell r="O1047" t="str">
            <v>F</v>
          </cell>
          <cell r="S1047">
            <v>8535042</v>
          </cell>
          <cell r="Y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</row>
        <row r="1048">
          <cell r="I1048" t="str">
            <v>7920</v>
          </cell>
          <cell r="K1048" t="str">
            <v>20</v>
          </cell>
          <cell r="N1048" t="str">
            <v/>
          </cell>
          <cell r="O1048" t="str">
            <v>F</v>
          </cell>
          <cell r="S1048">
            <v>1239332960</v>
          </cell>
          <cell r="Y1048">
            <v>0</v>
          </cell>
          <cell r="AB1048">
            <v>197681998</v>
          </cell>
          <cell r="AC1048">
            <v>63861551</v>
          </cell>
          <cell r="AD1048">
            <v>264535402</v>
          </cell>
          <cell r="AE1048">
            <v>248101383</v>
          </cell>
          <cell r="AF1048">
            <v>0</v>
          </cell>
          <cell r="AG1048">
            <v>71292176</v>
          </cell>
          <cell r="AH1048">
            <v>4319584</v>
          </cell>
          <cell r="AI1048">
            <v>1644355</v>
          </cell>
          <cell r="AJ1048">
            <v>0</v>
          </cell>
          <cell r="AK1048">
            <v>0</v>
          </cell>
          <cell r="AL1048">
            <v>0</v>
          </cell>
          <cell r="AM1048">
            <v>8490446</v>
          </cell>
          <cell r="AN1048">
            <v>72779650</v>
          </cell>
          <cell r="AO1048">
            <v>91175883</v>
          </cell>
          <cell r="AP1048">
            <v>561048</v>
          </cell>
          <cell r="AQ1048">
            <v>43541893</v>
          </cell>
          <cell r="AR1048">
            <v>53451272</v>
          </cell>
          <cell r="AS1048">
            <v>55379</v>
          </cell>
          <cell r="AT1048">
            <v>0</v>
          </cell>
          <cell r="AU1048">
            <v>-1078375</v>
          </cell>
          <cell r="AV1048">
            <v>725423</v>
          </cell>
          <cell r="AW1048">
            <v>10853295</v>
          </cell>
          <cell r="AX1048">
            <v>1181919</v>
          </cell>
          <cell r="AY1048">
            <v>0</v>
          </cell>
          <cell r="AZ1048">
            <v>0</v>
          </cell>
        </row>
        <row r="1049">
          <cell r="I1049" t="str">
            <v>7920</v>
          </cell>
          <cell r="K1049" t="str">
            <v>20</v>
          </cell>
          <cell r="N1049" t="str">
            <v/>
          </cell>
          <cell r="O1049" t="str">
            <v>F</v>
          </cell>
          <cell r="S1049">
            <v>211150</v>
          </cell>
          <cell r="Y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</row>
        <row r="1050">
          <cell r="I1050" t="str">
            <v>7920</v>
          </cell>
          <cell r="K1050" t="str">
            <v>20</v>
          </cell>
          <cell r="N1050" t="str">
            <v/>
          </cell>
          <cell r="O1050" t="str">
            <v>F</v>
          </cell>
          <cell r="S1050">
            <v>98880</v>
          </cell>
          <cell r="Y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</row>
        <row r="1051">
          <cell r="I1051" t="str">
            <v>3100</v>
          </cell>
          <cell r="K1051" t="str">
            <v>10</v>
          </cell>
          <cell r="N1051" t="str">
            <v>1</v>
          </cell>
          <cell r="O1051" t="str">
            <v>D</v>
          </cell>
          <cell r="S1051">
            <v>0</v>
          </cell>
          <cell r="Y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</row>
        <row r="1052">
          <cell r="I1052" t="str">
            <v>3100</v>
          </cell>
          <cell r="K1052" t="str">
            <v>10</v>
          </cell>
          <cell r="N1052" t="str">
            <v/>
          </cell>
          <cell r="O1052" t="str">
            <v>F</v>
          </cell>
          <cell r="S1052">
            <v>4431000</v>
          </cell>
          <cell r="Y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4002600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</row>
        <row r="1053">
          <cell r="I1053" t="str">
            <v>7900</v>
          </cell>
          <cell r="K1053" t="str">
            <v>90</v>
          </cell>
          <cell r="N1053" t="str">
            <v/>
          </cell>
          <cell r="O1053" t="str">
            <v>F</v>
          </cell>
          <cell r="S1053">
            <v>442925548</v>
          </cell>
          <cell r="Y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530421852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246876</v>
          </cell>
          <cell r="AZ1053">
            <v>0</v>
          </cell>
        </row>
        <row r="1054">
          <cell r="I1054" t="str">
            <v>3100</v>
          </cell>
          <cell r="K1054" t="str">
            <v>10</v>
          </cell>
          <cell r="N1054" t="str">
            <v>1</v>
          </cell>
          <cell r="O1054" t="str">
            <v>D</v>
          </cell>
          <cell r="S1054">
            <v>0</v>
          </cell>
          <cell r="Y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</row>
        <row r="1055">
          <cell r="I1055" t="str">
            <v>7920</v>
          </cell>
          <cell r="K1055" t="str">
            <v>10</v>
          </cell>
          <cell r="N1055" t="str">
            <v>1</v>
          </cell>
          <cell r="O1055" t="str">
            <v>D</v>
          </cell>
          <cell r="S1055">
            <v>0</v>
          </cell>
          <cell r="Y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</row>
        <row r="1056">
          <cell r="I1056" t="str">
            <v>7920</v>
          </cell>
          <cell r="K1056" t="str">
            <v>20</v>
          </cell>
          <cell r="N1056" t="str">
            <v>1</v>
          </cell>
          <cell r="O1056" t="str">
            <v>D</v>
          </cell>
          <cell r="S1056">
            <v>0</v>
          </cell>
          <cell r="Y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</row>
        <row r="1057">
          <cell r="I1057" t="str">
            <v>3100</v>
          </cell>
          <cell r="K1057" t="str">
            <v>10</v>
          </cell>
          <cell r="N1057" t="str">
            <v/>
          </cell>
          <cell r="O1057" t="str">
            <v>F</v>
          </cell>
          <cell r="S1057">
            <v>443500</v>
          </cell>
          <cell r="Y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413000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</row>
        <row r="1058">
          <cell r="I1058" t="str">
            <v>7920</v>
          </cell>
          <cell r="K1058" t="str">
            <v>10</v>
          </cell>
          <cell r="N1058" t="str">
            <v/>
          </cell>
          <cell r="O1058" t="str">
            <v>F</v>
          </cell>
          <cell r="S1058">
            <v>290752</v>
          </cell>
          <cell r="Y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</row>
        <row r="1059">
          <cell r="I1059" t="str">
            <v>7920</v>
          </cell>
          <cell r="K1059" t="str">
            <v>10</v>
          </cell>
          <cell r="N1059" t="str">
            <v/>
          </cell>
          <cell r="O1059" t="str">
            <v>F</v>
          </cell>
          <cell r="S1059">
            <v>46710246</v>
          </cell>
          <cell r="Y1059">
            <v>0</v>
          </cell>
          <cell r="AB1059">
            <v>26698223</v>
          </cell>
          <cell r="AC1059">
            <v>220688</v>
          </cell>
          <cell r="AD1059">
            <v>5858564</v>
          </cell>
          <cell r="AE1059">
            <v>0</v>
          </cell>
          <cell r="AF1059">
            <v>0</v>
          </cell>
          <cell r="AG1059">
            <v>488066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1087932</v>
          </cell>
          <cell r="AN1059">
            <v>3237485</v>
          </cell>
          <cell r="AO1059">
            <v>3970877</v>
          </cell>
          <cell r="AP1059">
            <v>7712</v>
          </cell>
          <cell r="AQ1059">
            <v>1958798</v>
          </cell>
          <cell r="AR1059">
            <v>18874334</v>
          </cell>
          <cell r="AS1059">
            <v>1633</v>
          </cell>
          <cell r="AT1059">
            <v>0</v>
          </cell>
          <cell r="AU1059">
            <v>-33509</v>
          </cell>
          <cell r="AV1059">
            <v>9472472</v>
          </cell>
          <cell r="AW1059">
            <v>3535193</v>
          </cell>
          <cell r="AX1059">
            <v>0</v>
          </cell>
          <cell r="AY1059">
            <v>0</v>
          </cell>
          <cell r="AZ1059">
            <v>-41</v>
          </cell>
        </row>
        <row r="1060">
          <cell r="I1060" t="str">
            <v>7920</v>
          </cell>
          <cell r="K1060" t="str">
            <v>20</v>
          </cell>
          <cell r="N1060" t="str">
            <v/>
          </cell>
          <cell r="O1060" t="str">
            <v>F</v>
          </cell>
          <cell r="S1060">
            <v>2476838</v>
          </cell>
          <cell r="Y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</row>
        <row r="1061">
          <cell r="I1061" t="str">
            <v>7920</v>
          </cell>
          <cell r="K1061" t="str">
            <v>20</v>
          </cell>
          <cell r="N1061" t="str">
            <v/>
          </cell>
          <cell r="O1061" t="str">
            <v>F</v>
          </cell>
          <cell r="S1061">
            <v>392405670</v>
          </cell>
          <cell r="Y1061">
            <v>0</v>
          </cell>
          <cell r="AB1061">
            <v>224287650</v>
          </cell>
          <cell r="AC1061">
            <v>1853942</v>
          </cell>
          <cell r="AD1061">
            <v>49216869</v>
          </cell>
          <cell r="AE1061">
            <v>0</v>
          </cell>
          <cell r="AF1061">
            <v>0</v>
          </cell>
          <cell r="AG1061">
            <v>4100149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9139552</v>
          </cell>
          <cell r="AN1061">
            <v>27197621</v>
          </cell>
          <cell r="AO1061">
            <v>33358757</v>
          </cell>
          <cell r="AP1061">
            <v>64809</v>
          </cell>
          <cell r="AQ1061">
            <v>16455560</v>
          </cell>
          <cell r="AR1061">
            <v>158560326</v>
          </cell>
          <cell r="AS1061">
            <v>13719</v>
          </cell>
          <cell r="AT1061">
            <v>0</v>
          </cell>
          <cell r="AU1061">
            <v>-281474</v>
          </cell>
          <cell r="AV1061">
            <v>79576732</v>
          </cell>
          <cell r="AW1061">
            <v>29698605</v>
          </cell>
          <cell r="AX1061">
            <v>0</v>
          </cell>
          <cell r="AY1061">
            <v>0</v>
          </cell>
          <cell r="AZ1061">
            <v>-342</v>
          </cell>
        </row>
        <row r="1062">
          <cell r="I1062" t="str">
            <v>7900</v>
          </cell>
          <cell r="K1062" t="str">
            <v>91</v>
          </cell>
          <cell r="N1062" t="str">
            <v>1</v>
          </cell>
          <cell r="O1062" t="str">
            <v>D</v>
          </cell>
          <cell r="S1062">
            <v>0</v>
          </cell>
          <cell r="Y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</row>
        <row r="1063">
          <cell r="I1063" t="str">
            <v>7900</v>
          </cell>
          <cell r="K1063" t="str">
            <v>91</v>
          </cell>
          <cell r="N1063" t="str">
            <v/>
          </cell>
          <cell r="O1063" t="str">
            <v>F</v>
          </cell>
          <cell r="S1063">
            <v>232680</v>
          </cell>
          <cell r="Y1063">
            <v>0</v>
          </cell>
          <cell r="AB1063">
            <v>232787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1451</v>
          </cell>
          <cell r="AJ1063">
            <v>0</v>
          </cell>
          <cell r="AK1063">
            <v>0</v>
          </cell>
          <cell r="AL1063">
            <v>0</v>
          </cell>
          <cell r="AM1063">
            <v>267126</v>
          </cell>
          <cell r="AN1063">
            <v>22878</v>
          </cell>
          <cell r="AO1063">
            <v>0</v>
          </cell>
          <cell r="AP1063">
            <v>822</v>
          </cell>
          <cell r="AQ1063">
            <v>14175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25667</v>
          </cell>
          <cell r="AX1063">
            <v>0</v>
          </cell>
          <cell r="AY1063">
            <v>936</v>
          </cell>
          <cell r="AZ1063">
            <v>0</v>
          </cell>
        </row>
        <row r="1064">
          <cell r="I1064" t="str">
            <v/>
          </cell>
          <cell r="K1064" t="str">
            <v/>
          </cell>
          <cell r="N1064" t="str">
            <v>B</v>
          </cell>
          <cell r="O1064" t="str">
            <v>B</v>
          </cell>
          <cell r="S1064">
            <v>0</v>
          </cell>
          <cell r="Y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</row>
        <row r="1065">
          <cell r="I1065" t="str">
            <v/>
          </cell>
          <cell r="K1065" t="str">
            <v>10</v>
          </cell>
          <cell r="N1065" t="str">
            <v>Z</v>
          </cell>
          <cell r="O1065" t="str">
            <v>B</v>
          </cell>
          <cell r="S1065">
            <v>0</v>
          </cell>
          <cell r="Y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</row>
        <row r="1066">
          <cell r="I1066" t="str">
            <v>7920</v>
          </cell>
          <cell r="K1066" t="str">
            <v>10</v>
          </cell>
          <cell r="N1066" t="str">
            <v>1</v>
          </cell>
          <cell r="O1066" t="str">
            <v>D</v>
          </cell>
          <cell r="S1066">
            <v>0</v>
          </cell>
          <cell r="Y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</row>
        <row r="1067">
          <cell r="I1067" t="str">
            <v>7920</v>
          </cell>
          <cell r="K1067" t="str">
            <v>20</v>
          </cell>
          <cell r="N1067" t="str">
            <v>1</v>
          </cell>
          <cell r="O1067" t="str">
            <v>D</v>
          </cell>
          <cell r="S1067">
            <v>0</v>
          </cell>
          <cell r="Y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</row>
        <row r="1068">
          <cell r="I1068" t="str">
            <v>7920</v>
          </cell>
          <cell r="K1068" t="str">
            <v>10</v>
          </cell>
          <cell r="N1068" t="str">
            <v/>
          </cell>
          <cell r="O1068" t="str">
            <v>F</v>
          </cell>
          <cell r="S1068">
            <v>-476576</v>
          </cell>
          <cell r="Y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</row>
        <row r="1069">
          <cell r="I1069" t="str">
            <v>7920</v>
          </cell>
          <cell r="K1069" t="str">
            <v>10</v>
          </cell>
          <cell r="N1069" t="str">
            <v/>
          </cell>
          <cell r="O1069" t="str">
            <v>F</v>
          </cell>
          <cell r="S1069">
            <v>98326396</v>
          </cell>
          <cell r="Y1069">
            <v>0</v>
          </cell>
          <cell r="AB1069">
            <v>28410488</v>
          </cell>
          <cell r="AC1069">
            <v>11692868</v>
          </cell>
          <cell r="AD1069">
            <v>11709699</v>
          </cell>
          <cell r="AE1069">
            <v>14805080</v>
          </cell>
          <cell r="AF1069">
            <v>0</v>
          </cell>
          <cell r="AG1069">
            <v>351706</v>
          </cell>
          <cell r="AH1069">
            <v>1785018</v>
          </cell>
          <cell r="AI1069">
            <v>402509</v>
          </cell>
          <cell r="AJ1069">
            <v>0</v>
          </cell>
          <cell r="AK1069">
            <v>0</v>
          </cell>
          <cell r="AL1069">
            <v>0</v>
          </cell>
          <cell r="AM1069">
            <v>2636595</v>
          </cell>
          <cell r="AN1069">
            <v>8275412</v>
          </cell>
          <cell r="AO1069">
            <v>7476495</v>
          </cell>
          <cell r="AP1069">
            <v>188111</v>
          </cell>
          <cell r="AQ1069">
            <v>4423847</v>
          </cell>
          <cell r="AR1069">
            <v>1505379</v>
          </cell>
          <cell r="AS1069">
            <v>21277</v>
          </cell>
          <cell r="AT1069">
            <v>0</v>
          </cell>
          <cell r="AU1069">
            <v>-252939</v>
          </cell>
          <cell r="AV1069">
            <v>26024</v>
          </cell>
          <cell r="AW1069">
            <v>1835437</v>
          </cell>
          <cell r="AX1069">
            <v>247597</v>
          </cell>
          <cell r="AY1069">
            <v>0</v>
          </cell>
          <cell r="AZ1069">
            <v>12</v>
          </cell>
        </row>
        <row r="1070">
          <cell r="I1070" t="str">
            <v>7920</v>
          </cell>
          <cell r="K1070" t="str">
            <v>20</v>
          </cell>
          <cell r="N1070" t="str">
            <v/>
          </cell>
          <cell r="O1070" t="str">
            <v>F</v>
          </cell>
          <cell r="S1070">
            <v>-4459992</v>
          </cell>
          <cell r="Y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</row>
        <row r="1071">
          <cell r="I1071" t="str">
            <v>7920</v>
          </cell>
          <cell r="K1071" t="str">
            <v>20</v>
          </cell>
          <cell r="N1071" t="str">
            <v/>
          </cell>
          <cell r="O1071" t="str">
            <v>F</v>
          </cell>
          <cell r="S1071">
            <v>944128668</v>
          </cell>
          <cell r="Y1071">
            <v>0</v>
          </cell>
          <cell r="AB1071">
            <v>269226137</v>
          </cell>
          <cell r="AC1071">
            <v>114361365</v>
          </cell>
          <cell r="AD1071">
            <v>110725042</v>
          </cell>
          <cell r="AE1071">
            <v>144800440</v>
          </cell>
          <cell r="AF1071">
            <v>0</v>
          </cell>
          <cell r="AG1071">
            <v>3441981</v>
          </cell>
          <cell r="AH1071">
            <v>17457819</v>
          </cell>
          <cell r="AI1071">
            <v>3936629</v>
          </cell>
          <cell r="AJ1071">
            <v>0</v>
          </cell>
          <cell r="AK1071">
            <v>0</v>
          </cell>
          <cell r="AL1071">
            <v>0</v>
          </cell>
          <cell r="AM1071">
            <v>24141804</v>
          </cell>
          <cell r="AN1071">
            <v>78526328</v>
          </cell>
          <cell r="AO1071">
            <v>73490206</v>
          </cell>
          <cell r="AP1071">
            <v>1709266</v>
          </cell>
          <cell r="AQ1071">
            <v>42199555</v>
          </cell>
          <cell r="AR1071">
            <v>14110568</v>
          </cell>
          <cell r="AS1071">
            <v>204010</v>
          </cell>
          <cell r="AT1071">
            <v>0</v>
          </cell>
          <cell r="AU1071">
            <v>-2444971</v>
          </cell>
          <cell r="AV1071">
            <v>248830</v>
          </cell>
          <cell r="AW1071">
            <v>17753631</v>
          </cell>
          <cell r="AX1071">
            <v>2292267</v>
          </cell>
          <cell r="AY1071">
            <v>0</v>
          </cell>
          <cell r="AZ1071">
            <v>85</v>
          </cell>
        </row>
        <row r="1072">
          <cell r="I1072" t="str">
            <v>7900</v>
          </cell>
          <cell r="K1072" t="str">
            <v>30</v>
          </cell>
          <cell r="N1072" t="str">
            <v/>
          </cell>
          <cell r="O1072" t="str">
            <v>F</v>
          </cell>
          <cell r="S1072">
            <v>46280808</v>
          </cell>
          <cell r="Y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</row>
        <row r="1073">
          <cell r="I1073" t="str">
            <v/>
          </cell>
          <cell r="K1073" t="str">
            <v/>
          </cell>
          <cell r="N1073" t="str">
            <v>3</v>
          </cell>
          <cell r="O1073" t="str">
            <v>B</v>
          </cell>
          <cell r="S1073">
            <v>0</v>
          </cell>
          <cell r="Y1073">
            <v>294557100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</row>
        <row r="1074">
          <cell r="BA1074">
            <v>-425775588</v>
          </cell>
          <cell r="BB1074">
            <v>603034560</v>
          </cell>
          <cell r="BC1074">
            <v>579829130</v>
          </cell>
          <cell r="BD1074">
            <v>70149850</v>
          </cell>
          <cell r="BE1074">
            <v>0</v>
          </cell>
          <cell r="BF1074">
            <v>6146564145</v>
          </cell>
          <cell r="BG1074">
            <v>7750200</v>
          </cell>
          <cell r="BH1074">
            <v>1021840704</v>
          </cell>
          <cell r="BI1074">
            <v>3866449</v>
          </cell>
          <cell r="BJ1074">
            <v>11873511</v>
          </cell>
          <cell r="BK1074">
            <v>24607719</v>
          </cell>
          <cell r="BL1074">
            <v>-769686456</v>
          </cell>
          <cell r="BM1074">
            <v>23185140</v>
          </cell>
          <cell r="BN1074">
            <v>44000</v>
          </cell>
          <cell r="BO1074">
            <v>12010369</v>
          </cell>
          <cell r="BP1074">
            <v>4503249</v>
          </cell>
          <cell r="BQ1074">
            <v>1606999</v>
          </cell>
          <cell r="BR1074">
            <v>2623259</v>
          </cell>
          <cell r="BS1074">
            <v>1651829</v>
          </cell>
          <cell r="BT1074">
            <v>0</v>
          </cell>
          <cell r="BU1074">
            <v>738324268</v>
          </cell>
          <cell r="BV1074">
            <v>221091</v>
          </cell>
          <cell r="BW1074">
            <v>1298181</v>
          </cell>
          <cell r="BX1074">
            <v>621547</v>
          </cell>
          <cell r="BY1074">
            <v>36364</v>
          </cell>
          <cell r="BZ1074">
            <v>0</v>
          </cell>
          <cell r="CA1074">
            <v>-75783410</v>
          </cell>
          <cell r="CB1074">
            <v>0</v>
          </cell>
          <cell r="CC1074">
            <v>-32129126</v>
          </cell>
          <cell r="CD1074">
            <v>-702058491</v>
          </cell>
          <cell r="CE1074">
            <v>-333643756</v>
          </cell>
          <cell r="CF1074">
            <v>-233058507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  <cell r="CL1074">
            <v>0</v>
          </cell>
          <cell r="CM1074">
            <v>0</v>
          </cell>
          <cell r="CN1074">
            <v>0</v>
          </cell>
          <cell r="CO1074">
            <v>-75200000</v>
          </cell>
          <cell r="CP1074">
            <v>88603409</v>
          </cell>
          <cell r="CQ1074">
            <v>656266176</v>
          </cell>
          <cell r="CR1074">
            <v>90931055</v>
          </cell>
          <cell r="CS1074">
            <v>4600000</v>
          </cell>
          <cell r="CT1074">
            <v>0</v>
          </cell>
          <cell r="CU1074">
            <v>0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-595889247</v>
          </cell>
          <cell r="DB1074">
            <v>0</v>
          </cell>
          <cell r="DF1074">
            <v>-136962739</v>
          </cell>
          <cell r="DG1074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2CE7-28DF-4D01-AF9C-140A52322EF6}">
  <dimension ref="A1:F110"/>
  <sheetViews>
    <sheetView showFormulas="1" tabSelected="1" topLeftCell="A82" zoomScale="70" zoomScaleNormal="70" workbookViewId="0">
      <selection activeCell="B110" sqref="B110"/>
    </sheetView>
  </sheetViews>
  <sheetFormatPr defaultColWidth="9" defaultRowHeight="17" x14ac:dyDescent="0.45"/>
  <cols>
    <col min="1" max="1" width="6" style="2" customWidth="1"/>
    <col min="2" max="2" width="29" style="2" customWidth="1"/>
    <col min="3" max="3" width="255.58203125" style="1" bestFit="1" customWidth="1"/>
    <col min="4" max="4" width="21.75" style="2" customWidth="1"/>
    <col min="5" max="5" width="12.25" style="2" customWidth="1"/>
    <col min="6" max="6" width="30.5" style="2" bestFit="1" customWidth="1"/>
    <col min="7" max="8" width="9" style="2"/>
    <col min="9" max="9" width="12.75" style="2" bestFit="1" customWidth="1"/>
    <col min="10" max="16384" width="9" style="2"/>
  </cols>
  <sheetData>
    <row r="1" spans="1:6" x14ac:dyDescent="0.45">
      <c r="A1" s="17" t="s">
        <v>264</v>
      </c>
      <c r="B1" s="17" t="s">
        <v>265</v>
      </c>
      <c r="C1" s="18" t="s">
        <v>266</v>
      </c>
      <c r="D1" s="17" t="s">
        <v>267</v>
      </c>
      <c r="E1" s="19" t="s">
        <v>286</v>
      </c>
      <c r="F1" s="19" t="s">
        <v>287</v>
      </c>
    </row>
    <row r="2" spans="1:6" x14ac:dyDescent="0.45">
      <c r="A2" s="17"/>
      <c r="B2" s="17"/>
      <c r="C2" s="18"/>
      <c r="D2" s="17"/>
      <c r="E2" s="20"/>
      <c r="F2" s="20"/>
    </row>
    <row r="3" spans="1:6" x14ac:dyDescent="0.45">
      <c r="A3" s="3">
        <v>1</v>
      </c>
      <c r="B3" s="3" t="s">
        <v>0</v>
      </c>
      <c r="C3" s="4">
        <f>C4+C15</f>
        <v>59239392515</v>
      </c>
      <c r="D3" s="5" t="s">
        <v>268</v>
      </c>
      <c r="E3" s="3"/>
      <c r="F3" s="3"/>
    </row>
    <row r="4" spans="1:6" x14ac:dyDescent="0.45">
      <c r="A4" s="6">
        <v>2</v>
      </c>
      <c r="B4" s="6" t="s">
        <v>1</v>
      </c>
      <c r="C4" s="7">
        <f>SUM(C8:C15)</f>
        <v>38542653431</v>
      </c>
      <c r="D4" s="8" t="s">
        <v>269</v>
      </c>
      <c r="E4" s="6"/>
      <c r="F4" s="6"/>
    </row>
    <row r="5" spans="1:6" x14ac:dyDescent="0.45">
      <c r="A5" s="9">
        <v>3</v>
      </c>
      <c r="B5" s="9" t="s">
        <v>270</v>
      </c>
      <c r="C5" s="10">
        <v>2026088</v>
      </c>
      <c r="D5" s="11"/>
      <c r="E5" s="9" t="s">
        <v>271</v>
      </c>
      <c r="F5" s="9" t="s">
        <v>2</v>
      </c>
    </row>
    <row r="6" spans="1:6" x14ac:dyDescent="0.45">
      <c r="A6" s="9">
        <v>4</v>
      </c>
      <c r="B6" s="9" t="s">
        <v>3</v>
      </c>
      <c r="C6" s="10">
        <f>SUMIFS('[1]Back data'!$S$2:$S$1073,'[1]Back data'!$O$2:$O$1073,"F",'[1]Back data'!$K$2:$K$1073,"10")+SUMIFS('[1]Back data'!$S$2:$S$1073,'[1]Back data'!$O$2:$O$1073,"F",'[1]Back data'!$K$2:$K$1073,"20")+SUMIFS('[1]Back data'!$S$2:$S$1073,'[1]Back data'!$O$2:$O$1073,"F",'[1]Back data'!$K$2:$K$1073,"91")-SUMIFS('[1]Back data'!$S$2:$S$1073,'[1]Back data'!$O$2:$O$1073,"F",'[1]Back data'!$K$2:$K$1073,"10",'[1]Back data'!$I$2:$I$1073,"3100")-SUMIFS('[1]Back data'!$S$2:$S$1073,'[1]Back data'!$O$2:$O$1073,"F",'[1]Back data'!$K$2:$K$1073,"20",'[1]Back data'!$I$2:$I$1073,"3100")-SUMIFS('[1]Back data'!$S$2:$S$1073,'[1]Back data'!$O$2:$O$1073,"F",'[1]Back data'!$K$2:$K$1073,"91",'[1]Back data'!$I$2:$I$1073,"3100")</f>
        <v>30021906359</v>
      </c>
      <c r="D6" s="12"/>
      <c r="E6" s="9" t="s">
        <v>272</v>
      </c>
      <c r="F6" s="9" t="s">
        <v>4</v>
      </c>
    </row>
    <row r="7" spans="1:6" x14ac:dyDescent="0.45">
      <c r="A7" s="9">
        <v>5</v>
      </c>
      <c r="B7" s="9" t="s">
        <v>5</v>
      </c>
      <c r="C7" s="10">
        <f>SUMIFS('[1]Back data'!$S$2:$S$1073,'[1]Back data'!$O$2:$O$1073,"F",'[1]Back data'!$K$2:$K$1073,"10",'[1]Back data'!$I$2:$I$1073,"3100")+SUMIFS('[1]Back data'!$S$2:$S$1073,'[1]Back data'!$O$2:$O$1073,"F",'[1]Back data'!$K$2:$K$1073,"20",'[1]Back data'!$I$2:$I$1073,"3100")+SUMIFS('[1]Back data'!$S$2:$S$1073,'[1]Back data'!$O$2:$O$1073,"F",'[1]Back data'!$K$2:$K$1073,"91",'[1]Back data'!$I$2:$I$1073,"3100")</f>
        <v>2249597985</v>
      </c>
      <c r="D7" s="12"/>
      <c r="E7" s="9" t="s">
        <v>272</v>
      </c>
      <c r="F7" s="9" t="s">
        <v>4</v>
      </c>
    </row>
    <row r="8" spans="1:6" x14ac:dyDescent="0.45">
      <c r="A8" s="9">
        <v>6</v>
      </c>
      <c r="B8" s="9" t="s">
        <v>6</v>
      </c>
      <c r="C8" s="10">
        <f>SUMIFS('[1]Back data'!$S$2:$S$1073,'[1]Back data'!$O$2:$O$1073,"F",'[1]Back data'!$K$2:$K$1073,"10",'[1]Back data'!$I$2:$I$1073,"3110")+SUMIFS('[1]Back data'!$S$2:$S$1073,'[1]Back data'!$O$2:$O$1073,"F",'[1]Back data'!$K$2:$K$1073,"20",'[1]Back data'!$I$2:$I$1073,"3110")+SUMIFS('[1]Back data'!$S$2:$S$1073,'[1]Back data'!$O$2:$O$1073,"F",'[1]Back data'!$K$2:$K$1073,"91",'[1]Back data'!$I$2:$I$1073,"3110")</f>
        <v>0</v>
      </c>
      <c r="D8" s="11"/>
      <c r="E8" s="9" t="s">
        <v>272</v>
      </c>
      <c r="F8" s="9" t="s">
        <v>4</v>
      </c>
    </row>
    <row r="9" spans="1:6" x14ac:dyDescent="0.45">
      <c r="A9" s="9">
        <v>7</v>
      </c>
      <c r="B9" s="9" t="s">
        <v>7</v>
      </c>
      <c r="C9" s="10">
        <f>SUMIFS('[1]Back data'!$Y$2:$Y$1073,'[1]Back data'!$O$2:$O$1073,"B",'[1]Back data'!$N$2:$N$1073,"2")</f>
        <v>325610</v>
      </c>
      <c r="D9" s="11"/>
      <c r="E9" s="9" t="s">
        <v>8</v>
      </c>
      <c r="F9" s="9" t="s">
        <v>9</v>
      </c>
    </row>
    <row r="10" spans="1:6" x14ac:dyDescent="0.45">
      <c r="A10" s="9">
        <v>8</v>
      </c>
      <c r="B10" s="9" t="s">
        <v>273</v>
      </c>
      <c r="C10" s="10">
        <f>SUMIFS('[1]Back data'!$S$2:$S$1073,'[1]Back data'!$O$2:$O$1073,"F",'[1]Back data'!$K$2:$K$1073,"92")+SUMIFS('[1]Back data'!$S$2:$S$1073,'[1]Back data'!$O$2:$O$1073,"B",'[1]Back data'!$K$2:$K$1073,"92")</f>
        <v>31439413</v>
      </c>
      <c r="D10" s="12"/>
      <c r="E10" s="9" t="s">
        <v>272</v>
      </c>
      <c r="F10" s="9" t="s">
        <v>4</v>
      </c>
    </row>
    <row r="11" spans="1:6" x14ac:dyDescent="0.45">
      <c r="A11" s="9">
        <v>9</v>
      </c>
      <c r="B11" s="9" t="s">
        <v>10</v>
      </c>
      <c r="C11" s="10">
        <f>SUMIFS('[1]Back data'!$Y$2:$Y$1073,'[1]Back data'!$O$2:$O$1073,"F",'[1]Back data'!$K$2:$K$1073,"92")+SUMIFS('[1]Back data'!$Y$2:$Y$1073,'[1]Back data'!$O$2:$O$1073,"B",'[1]Back data'!$K$2:$K$1073,"92")</f>
        <v>1436972855</v>
      </c>
      <c r="D11" s="12"/>
      <c r="E11" s="9" t="s">
        <v>8</v>
      </c>
      <c r="F11" s="9" t="s">
        <v>9</v>
      </c>
    </row>
    <row r="12" spans="1:6" x14ac:dyDescent="0.45">
      <c r="A12" s="9">
        <v>10</v>
      </c>
      <c r="B12" s="9" t="s">
        <v>11</v>
      </c>
      <c r="C12" s="10">
        <f>SUMIFS('[1]Back data'!$Y$2:$Y$1073,'[1]Back data'!$O$2:$O$1073,"B",'[1]Back data'!$K$2:$K$1073,"10",'[1]Back data'!$N$2:$N$1073,"1")+SUMIFS('[1]Back data'!$Y$2:$Y$1073,'[1]Back data'!$O$2:$O$1073,"B",'[1]Back data'!$K$2:$K$1073,"10",'[1]Back data'!$N$2:$N$1073,"3")+SUMIFS('[1]Back data'!$Y$2:$Y$1073,'[1]Back data'!$O$2:$O$1073,"B",'[1]Back data'!$K$2:$K$1073,"10",'[1]Back data'!$N$2:$N$1073,"4")+SUMIFS('[1]Back data'!$Y$2:$Y$1073,'[1]Back data'!$O$2:$O$1073,"B",'[1]Back data'!$K$2:$K$1073,"10",'[1]Back data'!$N$2:$N$1073,"5")+SUMIFS('[1]Back data'!$Y$2:$Y$1073,'[1]Back data'!$O$2:$O$1073,"B",'[1]Back data'!$K$2:$K$1073,"20",'[1]Back data'!$N$2:$N$1073,"1")+SUMIFS('[1]Back data'!$Y$2:$Y$1073,'[1]Back data'!$O$2:$O$1073,"B",'[1]Back data'!$K$2:$K$1073,"20",'[1]Back data'!$N$2:$N$1073,"3")+SUMIFS('[1]Back data'!$Y$2:$Y$1073,'[1]Back data'!$O$2:$O$1073,"B",'[1]Back data'!$K$2:$K$1073,"20",'[1]Back data'!$N$2:$N$1073,"4")+SUMIFS('[1]Back data'!$Y$2:$Y$1073,'[1]Back data'!$O$2:$O$1073,"B",'[1]Back data'!$K$2:$K$1073,"20",'[1]Back data'!$N$2:$N$1073,"5")+SUMIFS('[1]Back data'!$Y$2:$Y$1073,'[1]Back data'!$O$2:$O$1073,"B",'[1]Back data'!$K$2:$K$1073,"91",'[1]Back data'!$N$2:$N$1073,"1")+SUMIFS('[1]Back data'!$Y$2:$Y$1073,'[1]Back data'!$O$2:$O$1073,"B",'[1]Back data'!$K$2:$K$1073,"91",'[1]Back data'!$N$2:$N$1073,"3")+SUMIFS('[1]Back data'!$Y$2:$Y$1073,'[1]Back data'!$O$2:$O$1073,"B",'[1]Back data'!$K$2:$K$1073,"91",'[1]Back data'!$N$2:$N$1073,"4")+SUMIFS('[1]Back data'!$Y$2:$Y$1073,'[1]Back data'!$O$2:$O$1073,"B",'[1]Back data'!$K$2:$K$1073,"91",'[1]Back data'!$N$2:$N$1073,"51")</f>
        <v>67838607</v>
      </c>
      <c r="D12" s="10"/>
      <c r="E12" s="9" t="s">
        <v>8</v>
      </c>
      <c r="F12" s="9" t="s">
        <v>9</v>
      </c>
    </row>
    <row r="13" spans="1:6" x14ac:dyDescent="0.45">
      <c r="A13" s="9">
        <v>11</v>
      </c>
      <c r="B13" s="9" t="s">
        <v>12</v>
      </c>
      <c r="C13" s="10">
        <f>SUMIFS('[1]Back data'!$Y$2:$Y$1073,'[1]Back data'!$O$2:$O$1073,"B",'[1]Back data'!$N$2:$N$1073,"1")</f>
        <v>151250772</v>
      </c>
      <c r="D13" s="10"/>
      <c r="E13" s="9" t="s">
        <v>8</v>
      </c>
      <c r="F13" s="9" t="s">
        <v>9</v>
      </c>
    </row>
    <row r="14" spans="1:6" x14ac:dyDescent="0.45">
      <c r="A14" s="9">
        <v>12</v>
      </c>
      <c r="B14" s="9" t="s">
        <v>13</v>
      </c>
      <c r="C14" s="10">
        <f>SUMIFS('[1]Back data'!$S$2:$S$1073,'[1]Back data'!$O$2:$O$1073,"F",'[1]Back data'!$K$2:$K$1073,"90")</f>
        <v>16158087090</v>
      </c>
      <c r="D14" s="10"/>
      <c r="E14" s="9" t="s">
        <v>272</v>
      </c>
      <c r="F14" s="9" t="s">
        <v>4</v>
      </c>
    </row>
    <row r="15" spans="1:6" x14ac:dyDescent="0.45">
      <c r="A15" s="6">
        <v>13</v>
      </c>
      <c r="B15" s="6" t="s">
        <v>14</v>
      </c>
      <c r="C15" s="7">
        <f>SUM(C17:C20)</f>
        <v>20696739084</v>
      </c>
      <c r="D15" s="8" t="s">
        <v>274</v>
      </c>
      <c r="E15" s="6"/>
      <c r="F15" s="6"/>
    </row>
    <row r="16" spans="1:6" x14ac:dyDescent="0.45">
      <c r="A16" s="9">
        <v>14</v>
      </c>
      <c r="B16" s="9" t="s">
        <v>15</v>
      </c>
      <c r="C16" s="10">
        <v>513140</v>
      </c>
      <c r="D16" s="11"/>
      <c r="E16" s="9" t="s">
        <v>271</v>
      </c>
      <c r="F16" s="9" t="s">
        <v>2</v>
      </c>
    </row>
    <row r="17" spans="1:6" x14ac:dyDescent="0.45">
      <c r="A17" s="9">
        <v>15</v>
      </c>
      <c r="B17" s="9" t="s">
        <v>3</v>
      </c>
      <c r="C17" s="12">
        <f>SUMIFS('[1]Back data'!$S$2:$S$1073,'[1]Back data'!$O$2:$O$1073,"F",'[1]Back data'!$K$2:$K$1073,"30")-SUMIFS('[1]Back data'!$S$2:$S$1073,'[1]Back data'!$O$2:$O$1073,"F",'[1]Back data'!$K$2:$K$1073,"30",'[1]Back data'!$I$2:$I$1073,"3100")</f>
        <v>1783409433</v>
      </c>
      <c r="D17" s="12"/>
      <c r="E17" s="9" t="s">
        <v>272</v>
      </c>
      <c r="F17" s="9" t="s">
        <v>4</v>
      </c>
    </row>
    <row r="18" spans="1:6" x14ac:dyDescent="0.45">
      <c r="A18" s="9">
        <v>16</v>
      </c>
      <c r="B18" s="9" t="s">
        <v>5</v>
      </c>
      <c r="C18" s="12">
        <f>SUMIFS('[1]Back data'!$S$2:$S$1073,'[1]Back data'!$O$2:$O$1073,"F",'[1]Back data'!$K$2:$K$1073,"30",'[1]Back data'!$I$2:$I$1073,"3100")</f>
        <v>18400918217</v>
      </c>
      <c r="D18" s="12"/>
      <c r="E18" s="9" t="s">
        <v>272</v>
      </c>
      <c r="F18" s="9" t="s">
        <v>4</v>
      </c>
    </row>
    <row r="19" spans="1:6" x14ac:dyDescent="0.45">
      <c r="A19" s="9">
        <v>17</v>
      </c>
      <c r="B19" s="9" t="s">
        <v>6</v>
      </c>
      <c r="C19" s="12">
        <f>SUMIFS('[1]Back data'!$S$2:$S$1073,'[1]Back data'!$O$2:$O$1073,"F",'[1]Back data'!$K$2:$K$1073,"30",'[1]Back data'!$I$2:$I$1073,"3110")</f>
        <v>0</v>
      </c>
      <c r="D19" s="11"/>
      <c r="E19" s="9" t="s">
        <v>272</v>
      </c>
      <c r="F19" s="9" t="s">
        <v>4</v>
      </c>
    </row>
    <row r="20" spans="1:6" x14ac:dyDescent="0.45">
      <c r="A20" s="9">
        <v>18</v>
      </c>
      <c r="B20" s="9" t="s">
        <v>11</v>
      </c>
      <c r="C20" s="10">
        <f>SUMIFS('[1]Back data'!$Y$2:$Y$1073,'[1]Back data'!$O$2:$O$1073,"B",'[1]Back data'!$K$2:$K$1073,"30",'[1]Back data'!$N$2:$N$1073,"2")+SUMIFS('[1]Back data'!$Y$2:$Y$1073,'[1]Back data'!$O$2:$O$1073,"B",'[1]Back data'!$K$2:$K$1073,"30",'[1]Back data'!$N$2:$N$1073,"3")+SUMIFS('[1]Back data'!$Y$2:$Y$1073,'[1]Back data'!$O$2:$O$1073,"B",'[1]Back data'!$K$2:$K$1073,"30",'[1]Back data'!$N$2:$N$1073,"4")+SUMIFS('[1]Back data'!$Y$2:$Y$1073,'[1]Back data'!$O$2:$O$1073,"B",'[1]Back data'!$K$2:$K$1073,"30",'[1]Back data'!$N$2:$N$1073,"5")+SUMIFS('[1]Back data'!$Y$2:$Y$1073,'[1]Back data'!$O$2:$O$1073,"B",'[1]Back data'!$K$2:$K$1073,"30",'[1]Back data'!$N$2:$N$1073,"6")+SUMIFS('[1]Back data'!$Y$2:$Y$1073,'[1]Back data'!$O$2:$O$1073,"B",'[1]Back data'!$K$2:$K$1073,"30",'[1]Back data'!$N$2:$N$1073,"7")+SUMIFS('[1]Back data'!$Y$2:$Y$1073,'[1]Back data'!$O$2:$O$1073,"B",'[1]Back data'!$K$2:$K$1073,"30",'[1]Back data'!$N$2:$N$1073,"8")+SUMIFS('[1]Back data'!$Y$2:$Y$1073,'[1]Back data'!$O$2:$O$1073,"B",'[1]Back data'!$K$2:$K$1073,"30",'[1]Back data'!$N$2:$N$1073,"Z")</f>
        <v>512411434</v>
      </c>
      <c r="D20" s="10"/>
      <c r="E20" s="9" t="s">
        <v>8</v>
      </c>
      <c r="F20" s="9" t="s">
        <v>9</v>
      </c>
    </row>
    <row r="21" spans="1:6" x14ac:dyDescent="0.45">
      <c r="A21" s="3">
        <v>19</v>
      </c>
      <c r="B21" s="3" t="s">
        <v>16</v>
      </c>
      <c r="C21" s="4">
        <f>C22+C48</f>
        <v>41341993119</v>
      </c>
      <c r="D21" s="13" t="s">
        <v>275</v>
      </c>
      <c r="E21" s="3"/>
      <c r="F21" s="3"/>
    </row>
    <row r="22" spans="1:6" x14ac:dyDescent="0.45">
      <c r="A22" s="6">
        <v>20</v>
      </c>
      <c r="B22" s="6" t="s">
        <v>17</v>
      </c>
      <c r="C22" s="7">
        <f>SUM(C23:C47)</f>
        <v>41767768707</v>
      </c>
      <c r="D22" s="8" t="s">
        <v>276</v>
      </c>
      <c r="E22" s="6" t="s">
        <v>18</v>
      </c>
      <c r="F22" s="6" t="s">
        <v>19</v>
      </c>
    </row>
    <row r="23" spans="1:6" x14ac:dyDescent="0.45">
      <c r="A23" s="9">
        <v>21</v>
      </c>
      <c r="B23" s="9" t="s">
        <v>20</v>
      </c>
      <c r="C23" s="12">
        <f>SUMIFS('[1]Back data'!$AB$2:$AB$1073,'[1]Back data'!$O$2:$O$1073,"F",'[1]Back data'!$K$2:$K$1073,"10")+SUMIFS('[1]Back data'!$AB$2:$AB$1073,'[1]Back data'!$O$2:$O$1073,"F",'[1]Back data'!$K$2:$K$1073,"20")+SUMIFS('[1]Back data'!$AB$2:$AB$1073,'[1]Back data'!$O$2:$O$1073,"F",'[1]Back data'!$K$2:$K$1073,"30")+SUMIFS('[1]Back data'!$AB$2:$AB$1073,'[1]Back data'!$O$2:$O$1073,"F",'[1]Back data'!$K$2:$K$1073,"91")+SUMIFS('[1]Back data'!$AB$2:$AB$1073,'[1]Back data'!$O$2:$O$1073,"B",'[1]Back data'!$K$2:$K$1073,"10")+SUMIFS('[1]Back data'!$AB$2:$AB$1073,'[1]Back data'!$O$2:$O$1073,"B",'[1]Back data'!$K$2:$K$1073,"20")+SUMIFS('[1]Back data'!$AB$2:$AB$1073,'[1]Back data'!$O$2:$O$1073,"B",'[1]Back data'!$K$2:$K$1073,"30")+SUMIFS('[1]Back data'!$AB$2:$AB$1073,'[1]Back data'!$O$2:$O$1073,"B",'[1]Back data'!$K$2:$K$1073,"91")+SUMIFS('[1]Back data'!$AB$2:$AB$1073,'[1]Back data'!$O$2:$O$1073,"I",'[1]Back data'!$K$2:$K$1073,"10")+SUMIFS('[1]Back data'!$AB$2:$AB$1073,'[1]Back data'!$O$2:$O$1073,"I",'[1]Back data'!$K$2:$K$1073,"20")+SUMIFS('[1]Back data'!$AB$2:$AB$1073,'[1]Back data'!$O$2:$O$1073,"I",'[1]Back data'!$K$2:$K$1073,"30")+SUMIFS('[1]Back data'!$AB$2:$AB$1073,'[1]Back data'!$O$2:$O$1073,"I",'[1]Back data'!$K$2:$K$1073,"91")</f>
        <v>9163178146</v>
      </c>
      <c r="D23" s="12"/>
      <c r="E23" s="9" t="s">
        <v>21</v>
      </c>
      <c r="F23" s="9" t="s">
        <v>22</v>
      </c>
    </row>
    <row r="24" spans="1:6" x14ac:dyDescent="0.45">
      <c r="A24" s="9">
        <v>22</v>
      </c>
      <c r="B24" s="9" t="s">
        <v>23</v>
      </c>
      <c r="C24" s="12">
        <f>SUMIFS('[1]Back data'!$AC$2:$AC$1073,'[1]Back data'!$O$2:$O$1073,"F",'[1]Back data'!$K$2:$K$1073,"10")+SUMIFS('[1]Back data'!$AC$2:$AC$1073,'[1]Back data'!$O$2:$O$1073,"F",'[1]Back data'!$K$2:$K$1073,"20")+SUMIFS('[1]Back data'!$AC$2:$AC$1073,'[1]Back data'!$O$2:$O$1073,"F",'[1]Back data'!$K$2:$K$1073,"30")+SUMIFS('[1]Back data'!$AC$2:$AC$1073,'[1]Back data'!$O$2:$O$1073,"F",'[1]Back data'!$K$2:$K$1073,"91")+SUMIFS('[1]Back data'!$AC$2:$AC$1073,'[1]Back data'!$O$2:$O$1073,"B",'[1]Back data'!$K$2:$K$1073,"10")+SUMIFS('[1]Back data'!$AC$2:$AC$1073,'[1]Back data'!$O$2:$O$1073,"B",'[1]Back data'!$K$2:$K$1073,"20")+SUMIFS('[1]Back data'!$AC$2:$AC$1073,'[1]Back data'!$O$2:$O$1073,"B",'[1]Back data'!$K$2:$K$1073,"30")+SUMIFS('[1]Back data'!$AC$2:$AC$1073,'[1]Back data'!$O$2:$O$1073,"B",'[1]Back data'!$K$2:$K$1073,"91")+SUMIFS('[1]Back data'!$AC$2:$AC$1073,'[1]Back data'!$O$2:$O$1073,"I",'[1]Back data'!$K$2:$K$1073,"10")+SUMIFS('[1]Back data'!$AC$2:$AC$1073,'[1]Back data'!$O$2:$O$1073,"I",'[1]Back data'!$K$2:$K$1073,"20")+SUMIFS('[1]Back data'!$AC$2:$AC$1073,'[1]Back data'!$O$2:$O$1073,"I",'[1]Back data'!$K$2:$K$1073,"30")+SUMIFS('[1]Back data'!$AC$2:$AC$1073,'[1]Back data'!$O$2:$O$1073,"I",'[1]Back data'!$K$2:$K$1073,"91")</f>
        <v>1498238122</v>
      </c>
      <c r="D24" s="11"/>
      <c r="E24" s="9" t="s">
        <v>24</v>
      </c>
      <c r="F24" s="9" t="s">
        <v>25</v>
      </c>
    </row>
    <row r="25" spans="1:6" x14ac:dyDescent="0.45">
      <c r="A25" s="9">
        <v>23</v>
      </c>
      <c r="B25" s="9" t="s">
        <v>26</v>
      </c>
      <c r="C25" s="12">
        <f>SUMIFS('[1]Back data'!$AD$2:$AD$1073,'[1]Back data'!$O$2:$O$1073,"F",'[1]Back data'!$K$2:$K$1073,"10")+SUMIFS('[1]Back data'!$AD$2:$AD$1073,'[1]Back data'!$O$2:$O$1073,"F",'[1]Back data'!$K$2:$K$1073,"20")+SUMIFS('[1]Back data'!$AD$2:$AD$1073,'[1]Back data'!$O$2:$O$1073,"F",'[1]Back data'!$K$2:$K$1073,"30")+SUMIFS('[1]Back data'!$AD$2:$AD$1073,'[1]Back data'!$O$2:$O$1073,"F",'[1]Back data'!$K$2:$K$1073,"91")+SUMIFS('[1]Back data'!$AD$2:$AD$1073,'[1]Back data'!$O$2:$O$1073,"B",'[1]Back data'!$K$2:$K$1073,"10")+SUMIFS('[1]Back data'!$AD$2:$AD$1073,'[1]Back data'!$O$2:$O$1073,"B",'[1]Back data'!$K$2:$K$1073,"20")+SUMIFS('[1]Back data'!$AD$2:$AD$1073,'[1]Back data'!$O$2:$O$1073,"B",'[1]Back data'!$K$2:$K$1073,"30")+SUMIFS('[1]Back data'!$AD$2:$AD$1073,'[1]Back data'!$O$2:$O$1073,"B",'[1]Back data'!$K$2:$K$1073,"91")+SUMIFS('[1]Back data'!$AD$2:$AD$1073,'[1]Back data'!$O$2:$O$1073,"I",'[1]Back data'!$K$2:$K$1073,"10")+SUMIFS('[1]Back data'!$AD$2:$AD$1073,'[1]Back data'!$O$2:$O$1073,"I",'[1]Back data'!$K$2:$K$1073,"20")+SUMIFS('[1]Back data'!$AD$2:$AD$1073,'[1]Back data'!$O$2:$O$1073,"I",'[1]Back data'!$K$2:$K$1073,"30")+SUMIFS('[1]Back data'!$AD$2:$AD$1073,'[1]Back data'!$O$2:$O$1073,"I",'[1]Back data'!$K$2:$K$1073,"91")</f>
        <v>3313737010</v>
      </c>
      <c r="D25" s="11"/>
      <c r="E25" s="9" t="s">
        <v>27</v>
      </c>
      <c r="F25" s="9" t="s">
        <v>28</v>
      </c>
    </row>
    <row r="26" spans="1:6" x14ac:dyDescent="0.45">
      <c r="A26" s="9">
        <v>24</v>
      </c>
      <c r="B26" s="9" t="s">
        <v>29</v>
      </c>
      <c r="C26" s="12">
        <f>SUMIFS('[1]Back data'!$AE$2:$AE$1073,'[1]Back data'!$O$2:$O$1073,"F",'[1]Back data'!$K$2:$K$1073,"10")+SUMIFS('[1]Back data'!$AE$2:$AE$1073,'[1]Back data'!$O$2:$O$1073,"F",'[1]Back data'!$K$2:$K$1073,"20")+SUMIFS('[1]Back data'!$AE$2:$AE$1073,'[1]Back data'!$O$2:$O$1073,"F",'[1]Back data'!$K$2:$K$1073,"30")+SUMIFS('[1]Back data'!$AE$2:$AE$1073,'[1]Back data'!$O$2:$O$1073,"F",'[1]Back data'!$K$2:$K$1073,"91")+SUMIFS('[1]Back data'!$AE$2:$AE$1073,'[1]Back data'!$O$2:$O$1073,"B",'[1]Back data'!$K$2:$K$1073,"10")+SUMIFS('[1]Back data'!$AE$2:$AE$1073,'[1]Back data'!$O$2:$O$1073,"B",'[1]Back data'!$K$2:$K$1073,"20")+SUMIFS('[1]Back data'!$AE$2:$AE$1073,'[1]Back data'!$O$2:$O$1073,"B",'[1]Back data'!$K$2:$K$1073,"30")+SUMIFS('[1]Back data'!$AE$2:$AE$1073,'[1]Back data'!$O$2:$O$1073,"B",'[1]Back data'!$K$2:$K$1073,"91")+SUMIFS('[1]Back data'!$AE$2:$AE$1073,'[1]Back data'!$O$2:$O$1073,"I",'[1]Back data'!$K$2:$K$1073,"10")+SUMIFS('[1]Back data'!$AE$2:$AE$1073,'[1]Back data'!$O$2:$O$1073,"I",'[1]Back data'!$K$2:$K$1073,"20")+SUMIFS('[1]Back data'!$AE$2:$AE$1073,'[1]Back data'!$O$2:$O$1073,"I",'[1]Back data'!$K$2:$K$1073,"30")+SUMIFS('[1]Back data'!$AE$2:$AE$1073,'[1]Back data'!$O$2:$O$1073,"I",'[1]Back data'!$K$2:$K$1073,"91")</f>
        <v>3352310588</v>
      </c>
      <c r="D26" s="11"/>
      <c r="E26" s="9" t="s">
        <v>30</v>
      </c>
      <c r="F26" s="9" t="s">
        <v>31</v>
      </c>
    </row>
    <row r="27" spans="1:6" x14ac:dyDescent="0.45">
      <c r="A27" s="9">
        <v>25</v>
      </c>
      <c r="B27" s="9" t="s">
        <v>32</v>
      </c>
      <c r="C27" s="12">
        <f>SUMIFS('[1]Back data'!$AF$2:$AF$1073,'[1]Back data'!$O$2:$O$1073,"F",'[1]Back data'!$K$2:$K$1073,"10")+SUMIFS('[1]Back data'!$AF$2:$AF$1073,'[1]Back data'!$O$2:$O$1073,"F",'[1]Back data'!$K$2:$K$1073,"20")+SUMIFS('[1]Back data'!$AF$2:$AF$1073,'[1]Back data'!$O$2:$O$1073,"F",'[1]Back data'!$K$2:$K$1073,"30")+SUMIFS('[1]Back data'!$AF$2:$AF$1073,'[1]Back data'!$O$2:$O$1073,"F",'[1]Back data'!$K$2:$K$1073,"91")+SUMIFS('[1]Back data'!$AF$2:$AF$1073,'[1]Back data'!$O$2:$O$1073,"B",'[1]Back data'!$K$2:$K$1073,"10")+SUMIFS('[1]Back data'!$AF$2:$AF$1073,'[1]Back data'!$O$2:$O$1073,"B",'[1]Back data'!$K$2:$K$1073,"20")+SUMIFS('[1]Back data'!$AF$2:$AF$1073,'[1]Back data'!$O$2:$O$1073,"B",'[1]Back data'!$K$2:$K$1073,"30")+SUMIFS('[1]Back data'!$AF$2:$AF$1073,'[1]Back data'!$O$2:$O$1073,"B",'[1]Back data'!$K$2:$K$1073,"91")+SUMIFS('[1]Back data'!$AF$2:$AF$1073,'[1]Back data'!$O$2:$O$1073,"I",'[1]Back data'!$K$2:$K$1073,"10")+SUMIFS('[1]Back data'!$AF$2:$AF$1073,'[1]Back data'!$O$2:$O$1073,"I",'[1]Back data'!$K$2:$K$1073,"20")+SUMIFS('[1]Back data'!$AF$2:$AF$1073,'[1]Back data'!$O$2:$O$1073,"I",'[1]Back data'!$K$2:$K$1073,"30")+SUMIFS('[1]Back data'!$AF$2:$AF$1073,'[1]Back data'!$O$2:$O$1073,"I",'[1]Back data'!$K$2:$K$1073,"91")</f>
        <v>1731066756</v>
      </c>
      <c r="D27" s="11"/>
      <c r="E27" s="9" t="s">
        <v>33</v>
      </c>
      <c r="F27" s="9" t="s">
        <v>34</v>
      </c>
    </row>
    <row r="28" spans="1:6" x14ac:dyDescent="0.45">
      <c r="A28" s="9">
        <v>26</v>
      </c>
      <c r="B28" s="9" t="s">
        <v>35</v>
      </c>
      <c r="C28" s="12">
        <f>SUMIFS('[1]Back data'!$AG$2:$AG$1073,'[1]Back data'!$O$2:$O$1073,"F",'[1]Back data'!$K$2:$K$1073,"10")+SUMIFS('[1]Back data'!$AG$2:$AG$1073,'[1]Back data'!$O$2:$O$1073,"F",'[1]Back data'!$K$2:$K$1073,"20")+SUMIFS('[1]Back data'!$AG$2:$AG$1073,'[1]Back data'!$O$2:$O$1073,"F",'[1]Back data'!$K$2:$K$1073,"30")+SUMIFS('[1]Back data'!$AG$2:$AG$1073,'[1]Back data'!$O$2:$O$1073,"F",'[1]Back data'!$K$2:$K$1073,"91")+SUMIFS('[1]Back data'!$AG$2:$AG$1073,'[1]Back data'!$O$2:$O$1073,"B",'[1]Back data'!$K$2:$K$1073,"10")+SUMIFS('[1]Back data'!$AG$2:$AG$1073,'[1]Back data'!$O$2:$O$1073,"B",'[1]Back data'!$K$2:$K$1073,"20")+SUMIFS('[1]Back data'!$AG$2:$AG$1073,'[1]Back data'!$O$2:$O$1073,"B",'[1]Back data'!$K$2:$K$1073,"30")+SUMIFS('[1]Back data'!$AG$2:$AG$1073,'[1]Back data'!$O$2:$O$1073,"B",'[1]Back data'!$K$2:$K$1073,"91")+SUMIFS('[1]Back data'!$AG$2:$AG$1073,'[1]Back data'!$O$2:$O$1073,"I",'[1]Back data'!$K$2:$K$1073,"10")+SUMIFS('[1]Back data'!$AG$2:$AG$1073,'[1]Back data'!$O$2:$O$1073,"I",'[1]Back data'!$K$2:$K$1073,"20")+SUMIFS('[1]Back data'!$AG$2:$AG$1073,'[1]Back data'!$O$2:$O$1073,"I",'[1]Back data'!$K$2:$K$1073,"30")+SUMIFS('[1]Back data'!$AG$2:$AG$1073,'[1]Back data'!$O$2:$O$1073,"I",'[1]Back data'!$K$2:$K$1073,"91")</f>
        <v>323141742</v>
      </c>
      <c r="D28" s="11"/>
      <c r="E28" s="9" t="s">
        <v>36</v>
      </c>
      <c r="F28" s="9" t="s">
        <v>37</v>
      </c>
    </row>
    <row r="29" spans="1:6" x14ac:dyDescent="0.45">
      <c r="A29" s="9">
        <v>27</v>
      </c>
      <c r="B29" s="9" t="s">
        <v>38</v>
      </c>
      <c r="C29" s="12">
        <f>SUMIFS('[1]Back data'!$AH$2:$AH$1073,'[1]Back data'!$O$2:$O$1073,"F",'[1]Back data'!$K$2:$K$1073,"10")+SUMIFS('[1]Back data'!$AH$2:$AH$1073,'[1]Back data'!$O$2:$O$1073,"F",'[1]Back data'!$K$2:$K$1073,"20")+SUMIFS('[1]Back data'!$AH$2:$AH$1073,'[1]Back data'!$O$2:$O$1073,"F",'[1]Back data'!$K$2:$K$1073,"30")+SUMIFS('[1]Back data'!$AH$2:$AH$1073,'[1]Back data'!$O$2:$O$1073,"F",'[1]Back data'!$K$2:$K$1073,"91")+SUMIFS('[1]Back data'!$AH$2:$AH$1073,'[1]Back data'!$O$2:$O$1073,"B",'[1]Back data'!$K$2:$K$1073,"10")+SUMIFS('[1]Back data'!$AH$2:$AH$1073,'[1]Back data'!$O$2:$O$1073,"B",'[1]Back data'!$K$2:$K$1073,"20")+SUMIFS('[1]Back data'!$AH$2:$AH$1073,'[1]Back data'!$O$2:$O$1073,"B",'[1]Back data'!$K$2:$K$1073,"30")+SUMIFS('[1]Back data'!$AH$2:$AH$1073,'[1]Back data'!$O$2:$O$1073,"B",'[1]Back data'!$K$2:$K$1073,"91")+SUMIFS('[1]Back data'!$AH$2:$AH$1073,'[1]Back data'!$O$2:$O$1073,"I",'[1]Back data'!$K$2:$K$1073,"10")+SUMIFS('[1]Back data'!$AH$2:$AH$1073,'[1]Back data'!$O$2:$O$1073,"I",'[1]Back data'!$K$2:$K$1073,"20")+SUMIFS('[1]Back data'!$AH$2:$AH$1073,'[1]Back data'!$O$2:$O$1073,"I",'[1]Back data'!$K$2:$K$1073,"30")+SUMIFS('[1]Back data'!$AH$2:$AH$1073,'[1]Back data'!$O$2:$O$1073,"I",'[1]Back data'!$K$2:$K$1073,"91")</f>
        <v>198444365</v>
      </c>
      <c r="D29" s="11"/>
      <c r="E29" s="9" t="s">
        <v>39</v>
      </c>
      <c r="F29" s="9" t="s">
        <v>40</v>
      </c>
    </row>
    <row r="30" spans="1:6" x14ac:dyDescent="0.45">
      <c r="A30" s="9">
        <v>28</v>
      </c>
      <c r="B30" s="9" t="s">
        <v>41</v>
      </c>
      <c r="C30" s="12">
        <f>SUMIFS('[1]Back data'!$AI$2:$AI$1073,'[1]Back data'!$O$2:$O$1073,"F",'[1]Back data'!$K$2:$K$1073,"10")+SUMIFS('[1]Back data'!$AI$2:$AI$1073,'[1]Back data'!$O$2:$O$1073,"F",'[1]Back data'!$K$2:$K$1073,"20")+SUMIFS('[1]Back data'!$AI$2:$AI$1073,'[1]Back data'!$O$2:$O$1073,"F",'[1]Back data'!$K$2:$K$1073,"30")+SUMIFS('[1]Back data'!$AI$2:$AI$1073,'[1]Back data'!$O$2:$O$1073,"F",'[1]Back data'!$K$2:$K$1073,"91")+SUMIFS('[1]Back data'!$AI$2:$AI$1073,'[1]Back data'!$O$2:$O$1073,"B",'[1]Back data'!$K$2:$K$1073,"10")+SUMIFS('[1]Back data'!$AI$2:$AI$1073,'[1]Back data'!$O$2:$O$1073,"B",'[1]Back data'!$K$2:$K$1073,"20")+SUMIFS('[1]Back data'!$AI$2:$AI$1073,'[1]Back data'!$O$2:$O$1073,"B",'[1]Back data'!$K$2:$K$1073,"30")+SUMIFS('[1]Back data'!$AI$2:$AI$1073,'[1]Back data'!$O$2:$O$1073,"B",'[1]Back data'!$K$2:$K$1073,"91")+SUMIFS('[1]Back data'!$AI$2:$AI$1073,'[1]Back data'!$O$2:$O$1073,"I",'[1]Back data'!$K$2:$K$1073,"10")+SUMIFS('[1]Back data'!$AI$2:$AI$1073,'[1]Back data'!$O$2:$O$1073,"I",'[1]Back data'!$K$2:$K$1073,"20")+SUMIFS('[1]Back data'!$AI$2:$AI$1073,'[1]Back data'!$O$2:$O$1073,"I",'[1]Back data'!$K$2:$K$1073,"30")+SUMIFS('[1]Back data'!$AI$2:$AI$1073,'[1]Back data'!$O$2:$O$1073,"I",'[1]Back data'!$K$2:$K$1073,"91")</f>
        <v>95231597</v>
      </c>
      <c r="D30" s="11"/>
      <c r="E30" s="9" t="s">
        <v>42</v>
      </c>
      <c r="F30" s="9" t="s">
        <v>43</v>
      </c>
    </row>
    <row r="31" spans="1:6" x14ac:dyDescent="0.45">
      <c r="A31" s="9">
        <v>29</v>
      </c>
      <c r="B31" s="9" t="s">
        <v>44</v>
      </c>
      <c r="C31" s="12">
        <f>SUMIFS('[1]Back data'!$AJ$2:$AJ$1073,'[1]Back data'!$O$2:$O$1073,"F",'[1]Back data'!$K$2:$K$1073,"10")+SUMIFS('[1]Back data'!$AJ$2:$AJ$1073,'[1]Back data'!$O$2:$O$1073,"F",'[1]Back data'!$K$2:$K$1073,"20")+SUMIFS('[1]Back data'!$AJ$2:$AJ$1073,'[1]Back data'!$O$2:$O$1073,"F",'[1]Back data'!$K$2:$K$1073,"30")+SUMIFS('[1]Back data'!$AJ$2:$AJ$1073,'[1]Back data'!$O$2:$O$1073,"F",'[1]Back data'!$K$2:$K$1073,"91")+SUMIFS('[1]Back data'!$AJ$2:$AJ$1073,'[1]Back data'!$O$2:$O$1073,"B",'[1]Back data'!$K$2:$K$1073,"10")+SUMIFS('[1]Back data'!$AJ$2:$AJ$1073,'[1]Back data'!$O$2:$O$1073,"B",'[1]Back data'!$K$2:$K$1073,"20")+SUMIFS('[1]Back data'!$AJ$2:$AJ$1073,'[1]Back data'!$O$2:$O$1073,"B",'[1]Back data'!$K$2:$K$1073,"30")+SUMIFS('[1]Back data'!$AJ$2:$AJ$1073,'[1]Back data'!$O$2:$O$1073,"B",'[1]Back data'!$K$2:$K$1073,"91")+SUMIFS('[1]Back data'!$AJ$2:$AJ$1073,'[1]Back data'!$O$2:$O$1073,"I",'[1]Back data'!$K$2:$K$1073,"10")+SUMIFS('[1]Back data'!$AJ$2:$AJ$1073,'[1]Back data'!$O$2:$O$1073,"I",'[1]Back data'!$K$2:$K$1073,"20")+SUMIFS('[1]Back data'!$AJ$2:$AJ$1073,'[1]Back data'!$O$2:$O$1073,"I",'[1]Back data'!$K$2:$K$1073,"30")+SUMIFS('[1]Back data'!$AJ$2:$AJ$1073,'[1]Back data'!$O$2:$O$1073,"I",'[1]Back data'!$K$2:$K$1073,"91")</f>
        <v>626286</v>
      </c>
      <c r="D31" s="11"/>
      <c r="E31" s="9" t="s">
        <v>45</v>
      </c>
      <c r="F31" s="9" t="s">
        <v>46</v>
      </c>
    </row>
    <row r="32" spans="1:6" x14ac:dyDescent="0.45">
      <c r="A32" s="9">
        <v>30</v>
      </c>
      <c r="B32" s="9" t="s">
        <v>47</v>
      </c>
      <c r="C32" s="12">
        <f>SUMIFS('[1]Back data'!$AK$2:$AK$1073,'[1]Back data'!$O$2:$O$1073,"F",'[1]Back data'!$K$2:$K$1073,"10")+SUMIFS('[1]Back data'!$AK$2:$AK$1073,'[1]Back data'!$O$2:$O$1073,"F",'[1]Back data'!$K$2:$K$1073,"20")+SUMIFS('[1]Back data'!$AK$2:$AK$1073,'[1]Back data'!$O$2:$O$1073,"F",'[1]Back data'!$K$2:$K$1073,"30")+SUMIFS('[1]Back data'!$AK$2:$AK$1073,'[1]Back data'!$O$2:$O$1073,"F",'[1]Back data'!$K$2:$K$1073,"91")+SUMIFS('[1]Back data'!$AK$2:$AK$1073,'[1]Back data'!$O$2:$O$1073,"B",'[1]Back data'!$K$2:$K$1073,"10")+SUMIFS('[1]Back data'!$AK$2:$AK$1073,'[1]Back data'!$O$2:$O$1073,"B",'[1]Back data'!$K$2:$K$1073,"20")+SUMIFS('[1]Back data'!$AK$2:$AK$1073,'[1]Back data'!$O$2:$O$1073,"B",'[1]Back data'!$K$2:$K$1073,"30")+SUMIFS('[1]Back data'!$AK$2:$AK$1073,'[1]Back data'!$O$2:$O$1073,"B",'[1]Back data'!$K$2:$K$1073,"91")+SUMIFS('[1]Back data'!$AK$2:$AK$1073,'[1]Back data'!$O$2:$O$1073,"I",'[1]Back data'!$K$2:$K$1073,"10")+SUMIFS('[1]Back data'!$AK$2:$AK$1073,'[1]Back data'!$O$2:$O$1073,"I",'[1]Back data'!$K$2:$K$1073,"20")+SUMIFS('[1]Back data'!$AK$2:$AK$1073,'[1]Back data'!$O$2:$O$1073,"I",'[1]Back data'!$K$2:$K$1073,"30")+SUMIFS('[1]Back data'!$AK$2:$AK$1073,'[1]Back data'!$O$2:$O$1073,"I",'[1]Back data'!$K$2:$K$1073,"91")</f>
        <v>4796959352</v>
      </c>
      <c r="D32" s="11"/>
      <c r="E32" s="9" t="s">
        <v>48</v>
      </c>
      <c r="F32" s="9" t="s">
        <v>49</v>
      </c>
    </row>
    <row r="33" spans="1:6" x14ac:dyDescent="0.45">
      <c r="A33" s="9">
        <v>31</v>
      </c>
      <c r="B33" s="9" t="s">
        <v>50</v>
      </c>
      <c r="C33" s="12">
        <f>SUMIFS('[1]Back data'!$AL$2:$AL$1073,'[1]Back data'!$O$2:$O$1073,"F",'[1]Back data'!$K$2:$K$1073,"10")+SUMIFS('[1]Back data'!$AL$2:$AL$1073,'[1]Back data'!$O$2:$O$1073,"F",'[1]Back data'!$K$2:$K$1073,"20")+SUMIFS('[1]Back data'!$AL$2:$AL$1073,'[1]Back data'!$O$2:$O$1073,"F",'[1]Back data'!$K$2:$K$1073,"30")+SUMIFS('[1]Back data'!$AL$2:$AL$1073,'[1]Back data'!$O$2:$O$1073,"F",'[1]Back data'!$K$2:$K$1073,"91")+SUMIFS('[1]Back data'!$AL$2:$AL$1073,'[1]Back data'!$O$2:$O$1073,"B",'[1]Back data'!$K$2:$K$1073,"10")+SUMIFS('[1]Back data'!$AL$2:$AL$1073,'[1]Back data'!$O$2:$O$1073,"B",'[1]Back data'!$K$2:$K$1073,"20")+SUMIFS('[1]Back data'!$AL$2:$AL$1073,'[1]Back data'!$O$2:$O$1073,"B",'[1]Back data'!$K$2:$K$1073,"30")+SUMIFS('[1]Back data'!$AL$2:$AL$1073,'[1]Back data'!$O$2:$O$1073,"B",'[1]Back data'!$K$2:$K$1073,"91")+SUMIFS('[1]Back data'!$AL$2:$AL$1073,'[1]Back data'!$O$2:$O$1073,"I",'[1]Back data'!$K$2:$K$1073,"10")+SUMIFS('[1]Back data'!$AL$2:$AL$1073,'[1]Back data'!$O$2:$O$1073,"I",'[1]Back data'!$K$2:$K$1073,"20")+SUMIFS('[1]Back data'!$AL$2:$AL$1073,'[1]Back data'!$O$2:$O$1073,"I",'[1]Back data'!$K$2:$K$1073,"30")+SUMIFS('[1]Back data'!$AL$2:$AL$1073,'[1]Back data'!$O$2:$O$1073,"I",'[1]Back data'!$K$2:$K$1073,"91")</f>
        <v>9629204007</v>
      </c>
      <c r="D33" s="11"/>
      <c r="E33" s="9" t="s">
        <v>51</v>
      </c>
      <c r="F33" s="9" t="s">
        <v>52</v>
      </c>
    </row>
    <row r="34" spans="1:6" x14ac:dyDescent="0.45">
      <c r="A34" s="9">
        <v>32</v>
      </c>
      <c r="B34" s="9" t="s">
        <v>53</v>
      </c>
      <c r="C34" s="12">
        <f>SUMIFS('[1]Back data'!$AM$2:$AM$1073,'[1]Back data'!$O$2:$O$1073,"F",'[1]Back data'!$K$2:$K$1073,"10")+SUMIFS('[1]Back data'!$AM$2:$AM$1073,'[1]Back data'!$O$2:$O$1073,"F",'[1]Back data'!$K$2:$K$1073,"20")+SUMIFS('[1]Back data'!$AM$2:$AM$1073,'[1]Back data'!$O$2:$O$1073,"F",'[1]Back data'!$K$2:$K$1073,"30")+SUMIFS('[1]Back data'!$AM$2:$AM$1073,'[1]Back data'!$O$2:$O$1073,"F",'[1]Back data'!$K$2:$K$1073,"91")+SUMIFS('[1]Back data'!$AM$2:$AM$1073,'[1]Back data'!$O$2:$O$1073,"B",'[1]Back data'!$K$2:$K$1073,"10")+SUMIFS('[1]Back data'!$AM$2:$AM$1073,'[1]Back data'!$O$2:$O$1073,"B",'[1]Back data'!$K$2:$K$1073,"20")+SUMIFS('[1]Back data'!$AM$2:$AM$1073,'[1]Back data'!$O$2:$O$1073,"B",'[1]Back data'!$K$2:$K$1073,"30")+SUMIFS('[1]Back data'!$AM$2:$AM$1073,'[1]Back data'!$O$2:$O$1073,"B",'[1]Back data'!$K$2:$K$1073,"91")+SUMIFS('[1]Back data'!$AM$2:$AM$1073,'[1]Back data'!$O$2:$O$1073,"I",'[1]Back data'!$K$2:$K$1073,"10")+SUMIFS('[1]Back data'!$AM$2:$AM$1073,'[1]Back data'!$O$2:$O$1073,"I",'[1]Back data'!$K$2:$K$1073,"20")+SUMIFS('[1]Back data'!$AM$2:$AM$1073,'[1]Back data'!$O$2:$O$1073,"I",'[1]Back data'!$K$2:$K$1073,"30")+SUMIFS('[1]Back data'!$AM$2:$AM$1073,'[1]Back data'!$O$2:$O$1073,"I",'[1]Back data'!$K$2:$K$1073,"91")</f>
        <v>1145571081</v>
      </c>
      <c r="D34" s="11"/>
      <c r="E34" s="9" t="s">
        <v>54</v>
      </c>
      <c r="F34" s="9" t="s">
        <v>55</v>
      </c>
    </row>
    <row r="35" spans="1:6" x14ac:dyDescent="0.45">
      <c r="A35" s="9">
        <v>33</v>
      </c>
      <c r="B35" s="9" t="s">
        <v>56</v>
      </c>
      <c r="C35" s="12">
        <f>SUMIFS('[1]Back data'!$AN$2:$AN$1073,'[1]Back data'!$O$2:$O$1073,"F",'[1]Back data'!$K$2:$K$1073,"10")+SUMIFS('[1]Back data'!$AN$2:$AN$1073,'[1]Back data'!$O$2:$O$1073,"F",'[1]Back data'!$K$2:$K$1073,"20")+SUMIFS('[1]Back data'!$AN$2:$AN$1073,'[1]Back data'!$O$2:$O$1073,"F",'[1]Back data'!$K$2:$K$1073,"30")+SUMIFS('[1]Back data'!$AN$2:$AN$1073,'[1]Back data'!$O$2:$O$1073,"F",'[1]Back data'!$K$2:$K$1073,"91")+SUMIFS('[1]Back data'!$AN$2:$AN$1073,'[1]Back data'!$O$2:$O$1073,"B",'[1]Back data'!$K$2:$K$1073,"10")+SUMIFS('[1]Back data'!$AN$2:$AN$1073,'[1]Back data'!$O$2:$O$1073,"B",'[1]Back data'!$K$2:$K$1073,"20")+SUMIFS('[1]Back data'!$AN$2:$AN$1073,'[1]Back data'!$O$2:$O$1073,"B",'[1]Back data'!$K$2:$K$1073,"30")+SUMIFS('[1]Back data'!$AN$2:$AN$1073,'[1]Back data'!$O$2:$O$1073,"B",'[1]Back data'!$K$2:$K$1073,"91")+SUMIFS('[1]Back data'!$AN$2:$AN$1073,'[1]Back data'!$O$2:$O$1073,"I",'[1]Back data'!$K$2:$K$1073,"10")+SUMIFS('[1]Back data'!$AN$2:$AN$1073,'[1]Back data'!$O$2:$O$1073,"I",'[1]Back data'!$K$2:$K$1073,"20")+SUMIFS('[1]Back data'!$AN$2:$AN$1073,'[1]Back data'!$O$2:$O$1073,"I",'[1]Back data'!$K$2:$K$1073,"30")+SUMIFS('[1]Back data'!$AN$2:$AN$1073,'[1]Back data'!$O$2:$O$1073,"I",'[1]Back data'!$K$2:$K$1073,"91")</f>
        <v>2382801269</v>
      </c>
      <c r="D35" s="11"/>
      <c r="E35" s="9" t="s">
        <v>57</v>
      </c>
      <c r="F35" s="9" t="s">
        <v>58</v>
      </c>
    </row>
    <row r="36" spans="1:6" x14ac:dyDescent="0.45">
      <c r="A36" s="9">
        <v>34</v>
      </c>
      <c r="B36" s="9" t="s">
        <v>59</v>
      </c>
      <c r="C36" s="12">
        <f>SUMIFS('[1]Back data'!$AO$2:$AO$1073,'[1]Back data'!$O$2:$O$1073,"F",'[1]Back data'!$K$2:$K$1073,"10")+SUMIFS('[1]Back data'!$AO$2:$AO$1073,'[1]Back data'!$O$2:$O$1073,"F",'[1]Back data'!$K$2:$K$1073,"20")+SUMIFS('[1]Back data'!$AO$2:$AO$1073,'[1]Back data'!$O$2:$O$1073,"F",'[1]Back data'!$K$2:$K$1073,"30")+SUMIFS('[1]Back data'!$AO$2:$AO$1073,'[1]Back data'!$O$2:$O$1073,"F",'[1]Back data'!$K$2:$K$1073,"91")+SUMIFS('[1]Back data'!$AO$2:$AO$1073,'[1]Back data'!$O$2:$O$1073,"B",'[1]Back data'!$K$2:$K$1073,"10")+SUMIFS('[1]Back data'!$AO$2:$AO$1073,'[1]Back data'!$O$2:$O$1073,"B",'[1]Back data'!$K$2:$K$1073,"20")+SUMIFS('[1]Back data'!$AO$2:$AO$1073,'[1]Back data'!$O$2:$O$1073,"B",'[1]Back data'!$K$2:$K$1073,"30")+SUMIFS('[1]Back data'!$AO$2:$AO$1073,'[1]Back data'!$O$2:$O$1073,"B",'[1]Back data'!$K$2:$K$1073,"91")+SUMIFS('[1]Back data'!$AO$2:$AO$1073,'[1]Back data'!$O$2:$O$1073,"I",'[1]Back data'!$K$2:$K$1073,"10")+SUMIFS('[1]Back data'!$AO$2:$AO$1073,'[1]Back data'!$O$2:$O$1073,"I",'[1]Back data'!$K$2:$K$1073,"20")+SUMIFS('[1]Back data'!$AO$2:$AO$1073,'[1]Back data'!$O$2:$O$1073,"I",'[1]Back data'!$K$2:$K$1073,"30")+SUMIFS('[1]Back data'!$AO$2:$AO$1073,'[1]Back data'!$O$2:$O$1073,"I",'[1]Back data'!$K$2:$K$1073,"91")</f>
        <v>1224237288</v>
      </c>
      <c r="D36" s="11"/>
      <c r="E36" s="9" t="s">
        <v>60</v>
      </c>
      <c r="F36" s="9" t="s">
        <v>61</v>
      </c>
    </row>
    <row r="37" spans="1:6" x14ac:dyDescent="0.45">
      <c r="A37" s="9">
        <v>35</v>
      </c>
      <c r="B37" s="9" t="s">
        <v>62</v>
      </c>
      <c r="C37" s="12">
        <f>SUMIFS('[1]Back data'!$AP$2:$AP$1073,'[1]Back data'!$O$2:$O$1073,"F",'[1]Back data'!$K$2:$K$1073,"10")+SUMIFS('[1]Back data'!$AP$2:$AP$1073,'[1]Back data'!$O$2:$O$1073,"F",'[1]Back data'!$K$2:$K$1073,"20")+SUMIFS('[1]Back data'!$AP$2:$AP$1073,'[1]Back data'!$O$2:$O$1073,"F",'[1]Back data'!$K$2:$K$1073,"30")+SUMIFS('[1]Back data'!$AP$2:$AP$1073,'[1]Back data'!$O$2:$O$1073,"F",'[1]Back data'!$K$2:$K$1073,"91")+SUMIFS('[1]Back data'!$AP$2:$AP$1073,'[1]Back data'!$O$2:$O$1073,"B",'[1]Back data'!$K$2:$K$1073,"10")+SUMIFS('[1]Back data'!$AP$2:$AP$1073,'[1]Back data'!$O$2:$O$1073,"B",'[1]Back data'!$K$2:$K$1073,"20")+SUMIFS('[1]Back data'!$AP$2:$AP$1073,'[1]Back data'!$O$2:$O$1073,"B",'[1]Back data'!$K$2:$K$1073,"30")+SUMIFS('[1]Back data'!$AP$2:$AP$1073,'[1]Back data'!$O$2:$O$1073,"B",'[1]Back data'!$K$2:$K$1073,"91")+SUMIFS('[1]Back data'!$AP$2:$AP$1073,'[1]Back data'!$O$2:$O$1073,"I",'[1]Back data'!$K$2:$K$1073,"10")+SUMIFS('[1]Back data'!$AP$2:$AP$1073,'[1]Back data'!$O$2:$O$1073,"I",'[1]Back data'!$K$2:$K$1073,"20")+SUMIFS('[1]Back data'!$AP$2:$AP$1073,'[1]Back data'!$O$2:$O$1073,"I",'[1]Back data'!$K$2:$K$1073,"30")+SUMIFS('[1]Back data'!$AP$2:$AP$1073,'[1]Back data'!$O$2:$O$1073,"I",'[1]Back data'!$K$2:$K$1073,"91")</f>
        <v>59900373</v>
      </c>
      <c r="D37" s="11"/>
      <c r="E37" s="9" t="s">
        <v>63</v>
      </c>
      <c r="F37" s="9" t="s">
        <v>64</v>
      </c>
    </row>
    <row r="38" spans="1:6" x14ac:dyDescent="0.45">
      <c r="A38" s="9">
        <v>36</v>
      </c>
      <c r="B38" s="9" t="s">
        <v>65</v>
      </c>
      <c r="C38" s="12">
        <f>SUMIFS('[1]Back data'!$AQ$2:$AQ$1073,'[1]Back data'!$O$2:$O$1073,"F",'[1]Back data'!$K$2:$K$1073,"10")+SUMIFS('[1]Back data'!$AQ$2:$AQ$1073,'[1]Back data'!$O$2:$O$1073,"F",'[1]Back data'!$K$2:$K$1073,"20")+SUMIFS('[1]Back data'!$AQ$2:$AQ$1073,'[1]Back data'!$O$2:$O$1073,"F",'[1]Back data'!$K$2:$K$1073,"30")+SUMIFS('[1]Back data'!$AQ$2:$AQ$1073,'[1]Back data'!$O$2:$O$1073,"F",'[1]Back data'!$K$2:$K$1073,"91")+SUMIFS('[1]Back data'!$AQ$2:$AQ$1073,'[1]Back data'!$O$2:$O$1073,"B",'[1]Back data'!$K$2:$K$1073,"10")+SUMIFS('[1]Back data'!$AQ$2:$AQ$1073,'[1]Back data'!$O$2:$O$1073,"B",'[1]Back data'!$K$2:$K$1073,"20")+SUMIFS('[1]Back data'!$AQ$2:$AQ$1073,'[1]Back data'!$O$2:$O$1073,"B",'[1]Back data'!$K$2:$K$1073,"30")+SUMIFS('[1]Back data'!$AQ$2:$AQ$1073,'[1]Back data'!$O$2:$O$1073,"B",'[1]Back data'!$K$2:$K$1073,"91")+SUMIFS('[1]Back data'!$AQ$2:$AQ$1073,'[1]Back data'!$O$2:$O$1073,"I",'[1]Back data'!$K$2:$K$1073,"10")+SUMIFS('[1]Back data'!$AQ$2:$AQ$1073,'[1]Back data'!$O$2:$O$1073,"I",'[1]Back data'!$K$2:$K$1073,"20")+SUMIFS('[1]Back data'!$AQ$2:$AQ$1073,'[1]Back data'!$O$2:$O$1073,"I",'[1]Back data'!$K$2:$K$1073,"30")+SUMIFS('[1]Back data'!$AQ$2:$AQ$1073,'[1]Back data'!$O$2:$O$1073,"I",'[1]Back data'!$K$2:$K$1073,"91")</f>
        <v>1210893615</v>
      </c>
      <c r="D38" s="11"/>
      <c r="E38" s="9" t="s">
        <v>66</v>
      </c>
      <c r="F38" s="9" t="s">
        <v>67</v>
      </c>
    </row>
    <row r="39" spans="1:6" x14ac:dyDescent="0.45">
      <c r="A39" s="9">
        <v>37</v>
      </c>
      <c r="B39" s="9" t="s">
        <v>68</v>
      </c>
      <c r="C39" s="12">
        <f>SUMIFS('[1]Back data'!$AR$2:$AR$1073,'[1]Back data'!$O$2:$O$1073,"F",'[1]Back data'!$K$2:$K$1073,"10")+SUMIFS('[1]Back data'!$AR$2:$AR$1073,'[1]Back data'!$O$2:$O$1073,"F",'[1]Back data'!$K$2:$K$1073,"20")+SUMIFS('[1]Back data'!$AR$2:$AR$1073,'[1]Back data'!$O$2:$O$1073,"F",'[1]Back data'!$K$2:$K$1073,"30")+SUMIFS('[1]Back data'!$AR$2:$AR$1073,'[1]Back data'!$O$2:$O$1073,"F",'[1]Back data'!$K$2:$K$1073,"91")+SUMIFS('[1]Back data'!$AR$2:$AR$1073,'[1]Back data'!$O$2:$O$1073,"B",'[1]Back data'!$K$2:$K$1073,"10")+SUMIFS('[1]Back data'!$AR$2:$AR$1073,'[1]Back data'!$O$2:$O$1073,"B",'[1]Back data'!$K$2:$K$1073,"20")+SUMIFS('[1]Back data'!$AR$2:$AR$1073,'[1]Back data'!$O$2:$O$1073,"B",'[1]Back data'!$K$2:$K$1073,"30")+SUMIFS('[1]Back data'!$AR$2:$AR$1073,'[1]Back data'!$O$2:$O$1073,"B",'[1]Back data'!$K$2:$K$1073,"91")+SUMIFS('[1]Back data'!$AR$2:$AR$1073,'[1]Back data'!$O$2:$O$1073,"I",'[1]Back data'!$K$2:$K$1073,"10")+SUMIFS('[1]Back data'!$AR$2:$AR$1073,'[1]Back data'!$O$2:$O$1073,"I",'[1]Back data'!$K$2:$K$1073,"20")+SUMIFS('[1]Back data'!$AR$2:$AR$1073,'[1]Back data'!$O$2:$O$1073,"I",'[1]Back data'!$K$2:$K$1073,"30")+SUMIFS('[1]Back data'!$AR$2:$AR$1073,'[1]Back data'!$O$2:$O$1073,"I",'[1]Back data'!$K$2:$K$1073,"91")</f>
        <v>840188236</v>
      </c>
      <c r="D39" s="11"/>
      <c r="E39" s="9" t="s">
        <v>69</v>
      </c>
      <c r="F39" s="9" t="s">
        <v>70</v>
      </c>
    </row>
    <row r="40" spans="1:6" x14ac:dyDescent="0.45">
      <c r="A40" s="9">
        <v>38</v>
      </c>
      <c r="B40" s="9" t="s">
        <v>71</v>
      </c>
      <c r="C40" s="12">
        <f>SUMIFS('[1]Back data'!$AS$2:$AS$1073,'[1]Back data'!$O$2:$O$1073,"F",'[1]Back data'!$K$2:$K$1073,"10")+SUMIFS('[1]Back data'!$AS$2:$AS$1073,'[1]Back data'!$O$2:$O$1073,"F",'[1]Back data'!$K$2:$K$1073,"20")+SUMIFS('[1]Back data'!$AS$2:$AS$1073,'[1]Back data'!$O$2:$O$1073,"F",'[1]Back data'!$K$2:$K$1073,"30")+SUMIFS('[1]Back data'!$AS$2:$AS$1073,'[1]Back data'!$O$2:$O$1073,"F",'[1]Back data'!$K$2:$K$1073,"91")+SUMIFS('[1]Back data'!$AS$2:$AS$1073,'[1]Back data'!$O$2:$O$1073,"B",'[1]Back data'!$K$2:$K$1073,"10")+SUMIFS('[1]Back data'!$AS$2:$AS$1073,'[1]Back data'!$O$2:$O$1073,"B",'[1]Back data'!$K$2:$K$1073,"20")+SUMIFS('[1]Back data'!$AS$2:$AS$1073,'[1]Back data'!$O$2:$O$1073,"B",'[1]Back data'!$K$2:$K$1073,"30")+SUMIFS('[1]Back data'!$AS$2:$AS$1073,'[1]Back data'!$O$2:$O$1073,"B",'[1]Back data'!$K$2:$K$1073,"91")+SUMIFS('[1]Back data'!$AS$2:$AS$1073,'[1]Back data'!$O$2:$O$1073,"I",'[1]Back data'!$K$2:$K$1073,"10")+SUMIFS('[1]Back data'!$AS$2:$AS$1073,'[1]Back data'!$O$2:$O$1073,"I",'[1]Back data'!$K$2:$K$1073,"20")+SUMIFS('[1]Back data'!$AS$2:$AS$1073,'[1]Back data'!$O$2:$O$1073,"I",'[1]Back data'!$K$2:$K$1073,"30")+SUMIFS('[1]Back data'!$AS$2:$AS$1073,'[1]Back data'!$O$2:$O$1073,"I",'[1]Back data'!$K$2:$K$1073,"91")</f>
        <v>3336433</v>
      </c>
      <c r="D40" s="11"/>
      <c r="E40" s="9" t="s">
        <v>72</v>
      </c>
      <c r="F40" s="9" t="s">
        <v>73</v>
      </c>
    </row>
    <row r="41" spans="1:6" x14ac:dyDescent="0.45">
      <c r="A41" s="9">
        <v>39</v>
      </c>
      <c r="B41" s="9" t="s">
        <v>74</v>
      </c>
      <c r="C41" s="12">
        <f>SUMIFS('[1]Back data'!$AT$2:$AT$1073,'[1]Back data'!$O$2:$O$1073,"F",'[1]Back data'!$K$2:$K$1073,"10")+SUMIFS('[1]Back data'!$AT$2:$AT$1073,'[1]Back data'!$O$2:$O$1073,"F",'[1]Back data'!$K$2:$K$1073,"20")+SUMIFS('[1]Back data'!$AT$2:$AT$1073,'[1]Back data'!$O$2:$O$1073,"F",'[1]Back data'!$K$2:$K$1073,"30")+SUMIFS('[1]Back data'!$AT$2:$AT$1073,'[1]Back data'!$O$2:$O$1073,"F",'[1]Back data'!$K$2:$K$1073,"91")+SUMIFS('[1]Back data'!$AT$2:$AT$1073,'[1]Back data'!$O$2:$O$1073,"B",'[1]Back data'!$K$2:$K$1073,"10")+SUMIFS('[1]Back data'!$AT$2:$AT$1073,'[1]Back data'!$O$2:$O$1073,"B",'[1]Back data'!$K$2:$K$1073,"20")+SUMIFS('[1]Back data'!$AT$2:$AT$1073,'[1]Back data'!$O$2:$O$1073,"B",'[1]Back data'!$K$2:$K$1073,"30")+SUMIFS('[1]Back data'!$AT$2:$AT$1073,'[1]Back data'!$O$2:$O$1073,"B",'[1]Back data'!$K$2:$K$1073,"91")+SUMIFS('[1]Back data'!$AT$2:$AT$1073,'[1]Back data'!$O$2:$O$1073,"I",'[1]Back data'!$K$2:$K$1073,"10")+SUMIFS('[1]Back data'!$AT$2:$AT$1073,'[1]Back data'!$O$2:$O$1073,"I",'[1]Back data'!$K$2:$K$1073,"20")+SUMIFS('[1]Back data'!$AT$2:$AT$1073,'[1]Back data'!$O$2:$O$1073,"I",'[1]Back data'!$K$2:$K$1073,"30")+SUMIFS('[1]Back data'!$AT$2:$AT$1073,'[1]Back data'!$O$2:$O$1073,"I",'[1]Back data'!$K$2:$K$1073,"91")</f>
        <v>0</v>
      </c>
      <c r="D41" s="11"/>
      <c r="E41" s="9" t="s">
        <v>75</v>
      </c>
      <c r="F41" s="9" t="s">
        <v>76</v>
      </c>
    </row>
    <row r="42" spans="1:6" x14ac:dyDescent="0.45">
      <c r="A42" s="9">
        <v>40</v>
      </c>
      <c r="B42" s="9" t="s">
        <v>77</v>
      </c>
      <c r="C42" s="12">
        <f>SUMIFS('[1]Back data'!$AU$2:$AU$1073,'[1]Back data'!$O$2:$O$1073,"F",'[1]Back data'!$K$2:$K$1073,"10")+SUMIFS('[1]Back data'!$AU$2:$AU$1073,'[1]Back data'!$O$2:$O$1073,"F",'[1]Back data'!$K$2:$K$1073,"20")+SUMIFS('[1]Back data'!$AU$2:$AU$1073,'[1]Back data'!$O$2:$O$1073,"F",'[1]Back data'!$K$2:$K$1073,"30")+SUMIFS('[1]Back data'!$AU$2:$AU$1073,'[1]Back data'!$O$2:$O$1073,"F",'[1]Back data'!$K$2:$K$1073,"91")+SUMIFS('[1]Back data'!$AU$2:$AU$1073,'[1]Back data'!$O$2:$O$1073,"B",'[1]Back data'!$K$2:$K$1073,"10")+SUMIFS('[1]Back data'!$AU$2:$AU$1073,'[1]Back data'!$O$2:$O$1073,"B",'[1]Back data'!$K$2:$K$1073,"20")+SUMIFS('[1]Back data'!$AU$2:$AU$1073,'[1]Back data'!$O$2:$O$1073,"B",'[1]Back data'!$K$2:$K$1073,"30")+SUMIFS('[1]Back data'!$AU$2:$AU$1073,'[1]Back data'!$O$2:$O$1073,"B",'[1]Back data'!$K$2:$K$1073,"91")+SUMIFS('[1]Back data'!$AU$2:$AU$1073,'[1]Back data'!$O$2:$O$1073,"I",'[1]Back data'!$K$2:$K$1073,"10")+SUMIFS('[1]Back data'!$AU$2:$AU$1073,'[1]Back data'!$O$2:$O$1073,"I",'[1]Back data'!$K$2:$K$1073,"20")+SUMIFS('[1]Back data'!$AU$2:$AU$1073,'[1]Back data'!$O$2:$O$1073,"I",'[1]Back data'!$K$2:$K$1073,"30")+SUMIFS('[1]Back data'!$AU$2:$AU$1073,'[1]Back data'!$O$2:$O$1073,"I",'[1]Back data'!$K$2:$K$1073,"91")</f>
        <v>-69698465</v>
      </c>
      <c r="D42" s="11"/>
      <c r="E42" s="9" t="s">
        <v>78</v>
      </c>
      <c r="F42" s="9" t="s">
        <v>79</v>
      </c>
    </row>
    <row r="43" spans="1:6" x14ac:dyDescent="0.45">
      <c r="A43" s="9">
        <v>41</v>
      </c>
      <c r="B43" s="9" t="s">
        <v>80</v>
      </c>
      <c r="C43" s="12">
        <f>SUMIFS('[1]Back data'!$AV$2:$AV$1073,'[1]Back data'!$O$2:$O$1073,"F",'[1]Back data'!$K$2:$K$1073,"10")+SUMIFS('[1]Back data'!$AV$2:$AV$1073,'[1]Back data'!$O$2:$O$1073,"F",'[1]Back data'!$K$2:$K$1073,"20")+SUMIFS('[1]Back data'!$AV$2:$AV$1073,'[1]Back data'!$O$2:$O$1073,"F",'[1]Back data'!$K$2:$K$1073,"30")+SUMIFS('[1]Back data'!$AV$2:$AV$1073,'[1]Back data'!$O$2:$O$1073,"F",'[1]Back data'!$K$2:$K$1073,"91")+SUMIFS('[1]Back data'!$AV$2:$AV$1073,'[1]Back data'!$O$2:$O$1073,"B",'[1]Back data'!$K$2:$K$1073,"10")+SUMIFS('[1]Back data'!$AV$2:$AV$1073,'[1]Back data'!$O$2:$O$1073,"B",'[1]Back data'!$K$2:$K$1073,"20")+SUMIFS('[1]Back data'!$AV$2:$AV$1073,'[1]Back data'!$O$2:$O$1073,"B",'[1]Back data'!$K$2:$K$1073,"30")+SUMIFS('[1]Back data'!$AV$2:$AV$1073,'[1]Back data'!$O$2:$O$1073,"B",'[1]Back data'!$K$2:$K$1073,"91")+SUMIFS('[1]Back data'!$AV$2:$AV$1073,'[1]Back data'!$O$2:$O$1073,"I",'[1]Back data'!$K$2:$K$1073,"10")+SUMIFS('[1]Back data'!$AV$2:$AV$1073,'[1]Back data'!$O$2:$O$1073,"I",'[1]Back data'!$K$2:$K$1073,"20")+SUMIFS('[1]Back data'!$AV$2:$AV$1073,'[1]Back data'!$O$2:$O$1073,"I",'[1]Back data'!$K$2:$K$1073,"30")+SUMIFS('[1]Back data'!$AV$2:$AV$1073,'[1]Back data'!$O$2:$O$1073,"I",'[1]Back data'!$K$2:$K$1073,"91")</f>
        <v>449924533</v>
      </c>
      <c r="D43" s="11"/>
      <c r="E43" s="9" t="s">
        <v>81</v>
      </c>
      <c r="F43" s="9" t="s">
        <v>82</v>
      </c>
    </row>
    <row r="44" spans="1:6" x14ac:dyDescent="0.45">
      <c r="A44" s="9">
        <v>42</v>
      </c>
      <c r="B44" s="9" t="s">
        <v>83</v>
      </c>
      <c r="C44" s="12">
        <f>SUMIFS('[1]Back data'!$AW$2:$AW$1073,'[1]Back data'!$O$2:$O$1073,"F",'[1]Back data'!$K$2:$K$1073,"10")+SUMIFS('[1]Back data'!$AW$2:$AW$1073,'[1]Back data'!$O$2:$O$1073,"F",'[1]Back data'!$K$2:$K$1073,"20")+SUMIFS('[1]Back data'!$AW$2:$AW$1073,'[1]Back data'!$O$2:$O$1073,"F",'[1]Back data'!$K$2:$K$1073,"30")+SUMIFS('[1]Back data'!$AW$2:$AW$1073,'[1]Back data'!$O$2:$O$1073,"F",'[1]Back data'!$K$2:$K$1073,"91")+SUMIFS('[1]Back data'!$AW$2:$AW$1073,'[1]Back data'!$O$2:$O$1073,"B",'[1]Back data'!$K$2:$K$1073,"10")+SUMIFS('[1]Back data'!$AW$2:$AW$1073,'[1]Back data'!$O$2:$O$1073,"B",'[1]Back data'!$K$2:$K$1073,"20")+SUMIFS('[1]Back data'!$AW$2:$AW$1073,'[1]Back data'!$O$2:$O$1073,"B",'[1]Back data'!$K$2:$K$1073,"30")+SUMIFS('[1]Back data'!$AW$2:$AW$1073,'[1]Back data'!$O$2:$O$1073,"B",'[1]Back data'!$K$2:$K$1073,"91")+SUMIFS('[1]Back data'!$AW$2:$AW$1073,'[1]Back data'!$O$2:$O$1073,"I",'[1]Back data'!$K$2:$K$1073,"10")+SUMIFS('[1]Back data'!$AW$2:$AW$1073,'[1]Back data'!$O$2:$O$1073,"I",'[1]Back data'!$K$2:$K$1073,"20")+SUMIFS('[1]Back data'!$AW$2:$AW$1073,'[1]Back data'!$O$2:$O$1073,"I",'[1]Back data'!$K$2:$K$1073,"30")+SUMIFS('[1]Back data'!$AW$2:$AW$1073,'[1]Back data'!$O$2:$O$1073,"I",'[1]Back data'!$K$2:$K$1073,"91")</f>
        <v>392899301</v>
      </c>
      <c r="D44" s="11"/>
      <c r="E44" s="9" t="s">
        <v>84</v>
      </c>
      <c r="F44" s="9" t="s">
        <v>85</v>
      </c>
    </row>
    <row r="45" spans="1:6" x14ac:dyDescent="0.45">
      <c r="A45" s="9">
        <v>43</v>
      </c>
      <c r="B45" s="9" t="s">
        <v>86</v>
      </c>
      <c r="C45" s="12">
        <f>SUMIFS('[1]Back data'!$AX$2:$AX$1073,'[1]Back data'!$O$2:$O$1073,"F",'[1]Back data'!$K$2:$K$1073,"10")+SUMIFS('[1]Back data'!$AX$2:$AX$1073,'[1]Back data'!$O$2:$O$1073,"F",'[1]Back data'!$K$2:$K$1073,"20")+SUMIFS('[1]Back data'!$AX$2:$AX$1073,'[1]Back data'!$O$2:$O$1073,"F",'[1]Back data'!$K$2:$K$1073,"30")+SUMIFS('[1]Back data'!$AX$2:$AX$1073,'[1]Back data'!$O$2:$O$1073,"F",'[1]Back data'!$K$2:$K$1073,"91")+SUMIFS('[1]Back data'!$AX$2:$AX$1073,'[1]Back data'!$O$2:$O$1073,"B",'[1]Back data'!$K$2:$K$1073,"10")+SUMIFS('[1]Back data'!$AX$2:$AX$1073,'[1]Back data'!$O$2:$O$1073,"B",'[1]Back data'!$K$2:$K$1073,"20")+SUMIFS('[1]Back data'!$AX$2:$AX$1073,'[1]Back data'!$O$2:$O$1073,"B",'[1]Back data'!$K$2:$K$1073,"30")+SUMIFS('[1]Back data'!$AX$2:$AX$1073,'[1]Back data'!$O$2:$O$1073,"B",'[1]Back data'!$K$2:$K$1073,"91")+SUMIFS('[1]Back data'!$AX$2:$AX$1073,'[1]Back data'!$O$2:$O$1073,"I",'[1]Back data'!$K$2:$K$1073,"10")+SUMIFS('[1]Back data'!$AX$2:$AX$1073,'[1]Back data'!$O$2:$O$1073,"I",'[1]Back data'!$K$2:$K$1073,"20")+SUMIFS('[1]Back data'!$AX$2:$AX$1073,'[1]Back data'!$O$2:$O$1073,"I",'[1]Back data'!$K$2:$K$1073,"30")+SUMIFS('[1]Back data'!$AX$2:$AX$1073,'[1]Back data'!$O$2:$O$1073,"I",'[1]Back data'!$K$2:$K$1073,"91")</f>
        <v>25346644</v>
      </c>
      <c r="D45" s="11"/>
      <c r="E45" s="9" t="s">
        <v>87</v>
      </c>
      <c r="F45" s="9" t="s">
        <v>88</v>
      </c>
    </row>
    <row r="46" spans="1:6" x14ac:dyDescent="0.45">
      <c r="A46" s="9">
        <v>44</v>
      </c>
      <c r="B46" s="9" t="s">
        <v>277</v>
      </c>
      <c r="C46" s="12">
        <f>SUMIFS('[1]Back data'!$AY$2:$AY$1073,'[1]Back data'!$O$2:$O$1073,"F",'[1]Back data'!$K$2:$K$1073,"10")+SUMIFS('[1]Back data'!$AY$2:$AY$1073,'[1]Back data'!$O$2:$O$1073,"F",'[1]Back data'!$K$2:$K$1073,"20")+SUMIFS('[1]Back data'!$AY$2:$AY$1073,'[1]Back data'!$O$2:$O$1073,"F",'[1]Back data'!$K$2:$K$1073,"30")+SUMIFS('[1]Back data'!$AY$2:$AY$1073,'[1]Back data'!$O$2:$O$1073,"F",'[1]Back data'!$K$2:$K$1073,"91")+SUMIFS('[1]Back data'!$AY$2:$AY$1073,'[1]Back data'!$O$2:$O$1073,"B",'[1]Back data'!$K$2:$K$1073,"10")+SUMIFS('[1]Back data'!$AY$2:$AY$1073,'[1]Back data'!$O$2:$O$1073,"B",'[1]Back data'!$K$2:$K$1073,"20")+SUMIFS('[1]Back data'!$AY$2:$AY$1073,'[1]Back data'!$O$2:$O$1073,"B",'[1]Back data'!$K$2:$K$1073,"30")+SUMIFS('[1]Back data'!$AY$2:$AY$1073,'[1]Back data'!$O$2:$O$1073,"B",'[1]Back data'!$K$2:$K$1073,"91")+SUMIFS('[1]Back data'!$AY$2:$AY$1073,'[1]Back data'!$O$2:$O$1073,"I",'[1]Back data'!$K$2:$K$1073,"10")+SUMIFS('[1]Back data'!$AY$2:$AY$1073,'[1]Back data'!$O$2:$O$1073,"I",'[1]Back data'!$K$2:$K$1073,"20")+SUMIFS('[1]Back data'!$AY$2:$AY$1073,'[1]Back data'!$O$2:$O$1073,"I",'[1]Back data'!$K$2:$K$1073,"30")+SUMIFS('[1]Back data'!$AY$2:$AY$1073,'[1]Back data'!$O$2:$O$1073,"I",'[1]Back data'!$K$2:$K$1073,"91")</f>
        <v>233174</v>
      </c>
      <c r="D46" s="11"/>
      <c r="E46" s="9" t="s">
        <v>89</v>
      </c>
      <c r="F46" s="9" t="s">
        <v>90</v>
      </c>
    </row>
    <row r="47" spans="1:6" x14ac:dyDescent="0.45">
      <c r="A47" s="9">
        <v>45</v>
      </c>
      <c r="B47" s="9" t="s">
        <v>91</v>
      </c>
      <c r="C47" s="12">
        <f>SUMIFS('[1]Back data'!$AZ$2:$AZ$1073,'[1]Back data'!$O$2:$O$1073,"F",'[1]Back data'!$K$2:$K$1073,"10")+SUMIFS('[1]Back data'!$AZ$2:$AZ$1073,'[1]Back data'!$O$2:$O$1073,"F",'[1]Back data'!$K$2:$K$1073,"20")+SUMIFS('[1]Back data'!$AZ$2:$AZ$1073,'[1]Back data'!$O$2:$O$1073,"F",'[1]Back data'!$K$2:$K$1073,"30")+SUMIFS('[1]Back data'!$AZ$2:$AZ$1073,'[1]Back data'!$O$2:$O$1073,"F",'[1]Back data'!$K$2:$K$1073,"91")+SUMIFS('[1]Back data'!$AZ$2:$AZ$1073,'[1]Back data'!$O$2:$O$1073,"B",'[1]Back data'!$K$2:$K$1073,"10")+SUMIFS('[1]Back data'!$AZ$2:$AZ$1073,'[1]Back data'!$O$2:$O$1073,"B",'[1]Back data'!$K$2:$K$1073,"20")+SUMIFS('[1]Back data'!$AZ$2:$AZ$1073,'[1]Back data'!$O$2:$O$1073,"B",'[1]Back data'!$K$2:$K$1073,"30")+SUMIFS('[1]Back data'!$AZ$2:$AZ$1073,'[1]Back data'!$O$2:$O$1073,"B",'[1]Back data'!$K$2:$K$1073,"91")+SUMIFS('[1]Back data'!$AZ$2:$AZ$1073,'[1]Back data'!$O$2:$O$1073,"I",'[1]Back data'!$K$2:$K$1073,"10")+SUMIFS('[1]Back data'!$AZ$2:$AZ$1073,'[1]Back data'!$O$2:$O$1073,"I",'[1]Back data'!$K$2:$K$1073,"20")+SUMIFS('[1]Back data'!$AZ$2:$AZ$1073,'[1]Back data'!$O$2:$O$1073,"I",'[1]Back data'!$K$2:$K$1073,"30")+SUMIFS('[1]Back data'!$AZ$2:$AZ$1073,'[1]Back data'!$O$2:$O$1073,"I",'[1]Back data'!$K$2:$K$1073,"91")</f>
        <v>-2746</v>
      </c>
      <c r="D47" s="11"/>
      <c r="E47" s="9" t="s">
        <v>92</v>
      </c>
      <c r="F47" s="9" t="s">
        <v>93</v>
      </c>
    </row>
    <row r="48" spans="1:6" x14ac:dyDescent="0.45">
      <c r="A48" s="6">
        <v>46</v>
      </c>
      <c r="B48" s="6" t="s">
        <v>94</v>
      </c>
      <c r="C48" s="7">
        <f>'[1]Back data'!BA1074</f>
        <v>-425775588</v>
      </c>
      <c r="D48" s="14"/>
      <c r="E48" s="6" t="s">
        <v>95</v>
      </c>
      <c r="F48" s="6" t="s">
        <v>96</v>
      </c>
    </row>
    <row r="49" spans="1:6" x14ac:dyDescent="0.45">
      <c r="A49" s="3">
        <v>47</v>
      </c>
      <c r="B49" s="3" t="s">
        <v>97</v>
      </c>
      <c r="C49" s="4">
        <f>C3-C21</f>
        <v>17897399396</v>
      </c>
      <c r="D49" s="15" t="s">
        <v>278</v>
      </c>
      <c r="E49" s="3"/>
      <c r="F49" s="3"/>
    </row>
    <row r="50" spans="1:6" x14ac:dyDescent="0.45">
      <c r="A50" s="3">
        <v>48</v>
      </c>
      <c r="B50" s="3" t="s">
        <v>98</v>
      </c>
      <c r="C50" s="4">
        <f>SUM(C51:C75)</f>
        <v>8485956108</v>
      </c>
      <c r="D50" s="13" t="s">
        <v>279</v>
      </c>
      <c r="E50" s="3"/>
      <c r="F50" s="3"/>
    </row>
    <row r="51" spans="1:6" x14ac:dyDescent="0.45">
      <c r="A51" s="9">
        <v>49</v>
      </c>
      <c r="B51" s="9" t="s">
        <v>86</v>
      </c>
      <c r="C51" s="10">
        <f>'[1]Back data'!BB1074</f>
        <v>603034560</v>
      </c>
      <c r="D51" s="12"/>
      <c r="E51" s="9" t="s">
        <v>99</v>
      </c>
      <c r="F51" s="9" t="s">
        <v>100</v>
      </c>
    </row>
    <row r="52" spans="1:6" x14ac:dyDescent="0.45">
      <c r="A52" s="9">
        <v>50</v>
      </c>
      <c r="B52" s="9" t="s">
        <v>101</v>
      </c>
      <c r="C52" s="10">
        <f>'[1]Back data'!BC1074</f>
        <v>579829130</v>
      </c>
      <c r="D52" s="12"/>
      <c r="E52" s="9" t="s">
        <v>102</v>
      </c>
      <c r="F52" s="9" t="s">
        <v>103</v>
      </c>
    </row>
    <row r="53" spans="1:6" x14ac:dyDescent="0.45">
      <c r="A53" s="9">
        <v>51</v>
      </c>
      <c r="B53" s="9" t="s">
        <v>104</v>
      </c>
      <c r="C53" s="10">
        <f>'[1]Back data'!BD1074</f>
        <v>70149850</v>
      </c>
      <c r="D53" s="12"/>
      <c r="E53" s="9" t="s">
        <v>105</v>
      </c>
      <c r="F53" s="9" t="s">
        <v>106</v>
      </c>
    </row>
    <row r="54" spans="1:6" x14ac:dyDescent="0.45">
      <c r="A54" s="9">
        <v>52</v>
      </c>
      <c r="B54" s="9" t="s">
        <v>107</v>
      </c>
      <c r="C54" s="10">
        <f>'[1]Back data'!BE1074</f>
        <v>0</v>
      </c>
      <c r="D54" s="12"/>
      <c r="E54" s="9" t="s">
        <v>108</v>
      </c>
      <c r="F54" s="9" t="s">
        <v>109</v>
      </c>
    </row>
    <row r="55" spans="1:6" x14ac:dyDescent="0.45">
      <c r="A55" s="9">
        <v>53</v>
      </c>
      <c r="B55" s="9" t="s">
        <v>110</v>
      </c>
      <c r="C55" s="10">
        <f>'[1]Back data'!BF1074</f>
        <v>6146564145</v>
      </c>
      <c r="D55" s="12"/>
      <c r="E55" s="9" t="s">
        <v>111</v>
      </c>
      <c r="F55" s="9" t="s">
        <v>112</v>
      </c>
    </row>
    <row r="56" spans="1:6" x14ac:dyDescent="0.45">
      <c r="A56" s="9">
        <v>54</v>
      </c>
      <c r="B56" s="9" t="s">
        <v>113</v>
      </c>
      <c r="C56" s="10">
        <f>'[1]Back data'!BG1074</f>
        <v>7750200</v>
      </c>
      <c r="D56" s="12"/>
      <c r="E56" s="9" t="s">
        <v>114</v>
      </c>
      <c r="F56" s="9" t="s">
        <v>115</v>
      </c>
    </row>
    <row r="57" spans="1:6" x14ac:dyDescent="0.45">
      <c r="A57" s="9">
        <v>55</v>
      </c>
      <c r="B57" s="9" t="s">
        <v>116</v>
      </c>
      <c r="C57" s="10">
        <f>'[1]Back data'!BH1074</f>
        <v>1021840704</v>
      </c>
      <c r="D57" s="12"/>
      <c r="E57" s="9" t="s">
        <v>117</v>
      </c>
      <c r="F57" s="9" t="s">
        <v>118</v>
      </c>
    </row>
    <row r="58" spans="1:6" x14ac:dyDescent="0.45">
      <c r="A58" s="9">
        <v>56</v>
      </c>
      <c r="B58" s="9" t="s">
        <v>119</v>
      </c>
      <c r="C58" s="10">
        <f>'[1]Back data'!BI1074</f>
        <v>3866449</v>
      </c>
      <c r="D58" s="12"/>
      <c r="E58" s="9" t="s">
        <v>120</v>
      </c>
      <c r="F58" s="9" t="s">
        <v>121</v>
      </c>
    </row>
    <row r="59" spans="1:6" x14ac:dyDescent="0.45">
      <c r="A59" s="9">
        <v>57</v>
      </c>
      <c r="B59" s="9" t="s">
        <v>122</v>
      </c>
      <c r="C59" s="10">
        <f>'[1]Back data'!BJ1074</f>
        <v>11873511</v>
      </c>
      <c r="D59" s="12"/>
      <c r="E59" s="9" t="s">
        <v>123</v>
      </c>
      <c r="F59" s="9" t="s">
        <v>124</v>
      </c>
    </row>
    <row r="60" spans="1:6" x14ac:dyDescent="0.45">
      <c r="A60" s="9">
        <v>58</v>
      </c>
      <c r="B60" s="9" t="s">
        <v>125</v>
      </c>
      <c r="C60" s="10">
        <f>'[1]Back data'!BK1074</f>
        <v>24607719</v>
      </c>
      <c r="D60" s="12"/>
      <c r="E60" s="9" t="s">
        <v>126</v>
      </c>
      <c r="F60" s="9" t="s">
        <v>127</v>
      </c>
    </row>
    <row r="61" spans="1:6" x14ac:dyDescent="0.45">
      <c r="A61" s="9">
        <v>59</v>
      </c>
      <c r="B61" s="9" t="s">
        <v>128</v>
      </c>
      <c r="C61" s="10">
        <f>'[1]Back data'!BL1074</f>
        <v>-769686456</v>
      </c>
      <c r="D61" s="12"/>
      <c r="E61" s="9" t="s">
        <v>129</v>
      </c>
      <c r="F61" s="9" t="s">
        <v>130</v>
      </c>
    </row>
    <row r="62" spans="1:6" x14ac:dyDescent="0.45">
      <c r="A62" s="9">
        <v>60</v>
      </c>
      <c r="B62" s="9" t="s">
        <v>131</v>
      </c>
      <c r="C62" s="10">
        <f>'[1]Back data'!BM1074</f>
        <v>23185140</v>
      </c>
      <c r="D62" s="12"/>
      <c r="E62" s="9" t="s">
        <v>132</v>
      </c>
      <c r="F62" s="9" t="s">
        <v>133</v>
      </c>
    </row>
    <row r="63" spans="1:6" x14ac:dyDescent="0.45">
      <c r="A63" s="9">
        <v>61</v>
      </c>
      <c r="B63" s="9" t="s">
        <v>134</v>
      </c>
      <c r="C63" s="10">
        <f>'[1]Back data'!BN1074</f>
        <v>44000</v>
      </c>
      <c r="D63" s="12"/>
      <c r="E63" s="9" t="s">
        <v>135</v>
      </c>
      <c r="F63" s="9" t="s">
        <v>136</v>
      </c>
    </row>
    <row r="64" spans="1:6" x14ac:dyDescent="0.45">
      <c r="A64" s="9">
        <v>62</v>
      </c>
      <c r="B64" s="9" t="s">
        <v>137</v>
      </c>
      <c r="C64" s="10">
        <f>'[1]Back data'!BO1074</f>
        <v>12010369</v>
      </c>
      <c r="D64" s="12"/>
      <c r="E64" s="9" t="s">
        <v>138</v>
      </c>
      <c r="F64" s="9" t="s">
        <v>139</v>
      </c>
    </row>
    <row r="65" spans="1:6" x14ac:dyDescent="0.45">
      <c r="A65" s="9">
        <v>63</v>
      </c>
      <c r="B65" s="9" t="s">
        <v>140</v>
      </c>
      <c r="C65" s="10">
        <f>'[1]Back data'!BP1074</f>
        <v>4503249</v>
      </c>
      <c r="D65" s="12"/>
      <c r="E65" s="9" t="s">
        <v>141</v>
      </c>
      <c r="F65" s="9" t="s">
        <v>142</v>
      </c>
    </row>
    <row r="66" spans="1:6" x14ac:dyDescent="0.45">
      <c r="A66" s="9">
        <v>64</v>
      </c>
      <c r="B66" s="9" t="s">
        <v>143</v>
      </c>
      <c r="C66" s="10">
        <f>'[1]Back data'!BQ1074</f>
        <v>1606999</v>
      </c>
      <c r="D66" s="12"/>
      <c r="E66" s="9" t="s">
        <v>144</v>
      </c>
      <c r="F66" s="9" t="s">
        <v>145</v>
      </c>
    </row>
    <row r="67" spans="1:6" x14ac:dyDescent="0.45">
      <c r="A67" s="9">
        <v>65</v>
      </c>
      <c r="B67" s="9" t="s">
        <v>146</v>
      </c>
      <c r="C67" s="10">
        <f>'[1]Back data'!BR1074</f>
        <v>2623259</v>
      </c>
      <c r="D67" s="12"/>
      <c r="E67" s="9" t="s">
        <v>147</v>
      </c>
      <c r="F67" s="9" t="s">
        <v>148</v>
      </c>
    </row>
    <row r="68" spans="1:6" x14ac:dyDescent="0.45">
      <c r="A68" s="9">
        <v>66</v>
      </c>
      <c r="B68" s="9" t="s">
        <v>149</v>
      </c>
      <c r="C68" s="10">
        <f>'[1]Back data'!BS1074</f>
        <v>1651829</v>
      </c>
      <c r="D68" s="12"/>
      <c r="E68" s="9" t="s">
        <v>150</v>
      </c>
      <c r="F68" s="9" t="s">
        <v>151</v>
      </c>
    </row>
    <row r="69" spans="1:6" x14ac:dyDescent="0.45">
      <c r="A69" s="9">
        <v>67</v>
      </c>
      <c r="B69" s="9" t="s">
        <v>152</v>
      </c>
      <c r="C69" s="10">
        <f>'[1]Back data'!BT1074</f>
        <v>0</v>
      </c>
      <c r="D69" s="12"/>
      <c r="E69" s="9" t="s">
        <v>153</v>
      </c>
      <c r="F69" s="9" t="s">
        <v>154</v>
      </c>
    </row>
    <row r="70" spans="1:6" x14ac:dyDescent="0.45">
      <c r="A70" s="9">
        <v>68</v>
      </c>
      <c r="B70" s="9" t="s">
        <v>155</v>
      </c>
      <c r="C70" s="10">
        <f>'[1]Back data'!BU1074</f>
        <v>738324268</v>
      </c>
      <c r="D70" s="12"/>
      <c r="E70" s="9" t="s">
        <v>156</v>
      </c>
      <c r="F70" s="9" t="s">
        <v>157</v>
      </c>
    </row>
    <row r="71" spans="1:6" x14ac:dyDescent="0.45">
      <c r="A71" s="9">
        <v>69</v>
      </c>
      <c r="B71" s="9" t="s">
        <v>158</v>
      </c>
      <c r="C71" s="10">
        <f>'[1]Back data'!BV1074</f>
        <v>221091</v>
      </c>
      <c r="D71" s="12"/>
      <c r="E71" s="9" t="s">
        <v>159</v>
      </c>
      <c r="F71" s="9" t="s">
        <v>160</v>
      </c>
    </row>
    <row r="72" spans="1:6" x14ac:dyDescent="0.45">
      <c r="A72" s="9">
        <v>70</v>
      </c>
      <c r="B72" s="9" t="s">
        <v>161</v>
      </c>
      <c r="C72" s="10">
        <f>'[1]Back data'!BW1074</f>
        <v>1298181</v>
      </c>
      <c r="D72" s="12"/>
      <c r="E72" s="9" t="s">
        <v>162</v>
      </c>
      <c r="F72" s="9" t="s">
        <v>163</v>
      </c>
    </row>
    <row r="73" spans="1:6" x14ac:dyDescent="0.45">
      <c r="A73" s="9">
        <v>71</v>
      </c>
      <c r="B73" s="9" t="s">
        <v>164</v>
      </c>
      <c r="C73" s="10">
        <f>'[1]Back data'!BX1074</f>
        <v>621547</v>
      </c>
      <c r="D73" s="12"/>
      <c r="E73" s="9" t="s">
        <v>165</v>
      </c>
      <c r="F73" s="9" t="s">
        <v>166</v>
      </c>
    </row>
    <row r="74" spans="1:6" x14ac:dyDescent="0.45">
      <c r="A74" s="9">
        <v>72</v>
      </c>
      <c r="B74" s="9" t="s">
        <v>167</v>
      </c>
      <c r="C74" s="10">
        <f>'[1]Back data'!BY1074</f>
        <v>36364</v>
      </c>
      <c r="D74" s="12"/>
      <c r="E74" s="9" t="s">
        <v>168</v>
      </c>
      <c r="F74" s="9" t="s">
        <v>169</v>
      </c>
    </row>
    <row r="75" spans="1:6" x14ac:dyDescent="0.45">
      <c r="A75" s="9">
        <v>73</v>
      </c>
      <c r="B75" s="9" t="s">
        <v>170</v>
      </c>
      <c r="C75" s="10">
        <f>'[1]Back data'!BZ1074</f>
        <v>0</v>
      </c>
      <c r="D75" s="12"/>
      <c r="E75" s="9" t="s">
        <v>171</v>
      </c>
      <c r="F75" s="9" t="s">
        <v>172</v>
      </c>
    </row>
    <row r="76" spans="1:6" x14ac:dyDescent="0.45">
      <c r="A76" s="3">
        <v>74</v>
      </c>
      <c r="B76" s="3" t="s">
        <v>280</v>
      </c>
      <c r="C76" s="4">
        <f>C49-C50</f>
        <v>9411443288</v>
      </c>
      <c r="D76" s="16" t="s">
        <v>281</v>
      </c>
      <c r="E76" s="3"/>
      <c r="F76" s="3"/>
    </row>
    <row r="77" spans="1:6" x14ac:dyDescent="0.45">
      <c r="A77" s="3">
        <v>75</v>
      </c>
      <c r="B77" s="3" t="s">
        <v>173</v>
      </c>
      <c r="C77" s="4">
        <f>SUM(C78:C93)</f>
        <v>-1451873290</v>
      </c>
      <c r="D77" s="13" t="s">
        <v>282</v>
      </c>
      <c r="E77" s="3"/>
      <c r="F77" s="3"/>
    </row>
    <row r="78" spans="1:6" x14ac:dyDescent="0.45">
      <c r="A78" s="9">
        <v>76</v>
      </c>
      <c r="B78" s="9" t="s">
        <v>174</v>
      </c>
      <c r="C78" s="10">
        <f>'[1]Back data'!CA1074</f>
        <v>-75783410</v>
      </c>
      <c r="D78" s="11"/>
      <c r="E78" s="9" t="s">
        <v>175</v>
      </c>
      <c r="F78" s="9" t="s">
        <v>176</v>
      </c>
    </row>
    <row r="79" spans="1:6" x14ac:dyDescent="0.45">
      <c r="A79" s="9">
        <v>77</v>
      </c>
      <c r="B79" s="9" t="s">
        <v>177</v>
      </c>
      <c r="C79" s="10">
        <f>'[1]Back data'!CB1074</f>
        <v>0</v>
      </c>
      <c r="D79" s="11"/>
      <c r="E79" s="9" t="s">
        <v>178</v>
      </c>
      <c r="F79" s="9" t="s">
        <v>179</v>
      </c>
    </row>
    <row r="80" spans="1:6" x14ac:dyDescent="0.45">
      <c r="A80" s="9">
        <v>78</v>
      </c>
      <c r="B80" s="9" t="s">
        <v>180</v>
      </c>
      <c r="C80" s="10">
        <f>'[1]Back data'!CC1074</f>
        <v>-32129126</v>
      </c>
      <c r="D80" s="11"/>
      <c r="E80" s="9" t="s">
        <v>181</v>
      </c>
      <c r="F80" s="9" t="s">
        <v>182</v>
      </c>
    </row>
    <row r="81" spans="1:6" x14ac:dyDescent="0.45">
      <c r="A81" s="9">
        <v>79</v>
      </c>
      <c r="B81" s="9" t="s">
        <v>183</v>
      </c>
      <c r="C81" s="10">
        <f>'[1]Back data'!CD1074</f>
        <v>-702058491</v>
      </c>
      <c r="D81" s="11"/>
      <c r="E81" s="9" t="s">
        <v>184</v>
      </c>
      <c r="F81" s="9" t="s">
        <v>185</v>
      </c>
    </row>
    <row r="82" spans="1:6" x14ac:dyDescent="0.45">
      <c r="A82" s="9">
        <v>80</v>
      </c>
      <c r="B82" s="9" t="s">
        <v>186</v>
      </c>
      <c r="C82" s="10">
        <f>'[1]Back data'!CE1074</f>
        <v>-333643756</v>
      </c>
      <c r="D82" s="11"/>
      <c r="E82" s="9" t="s">
        <v>187</v>
      </c>
      <c r="F82" s="9" t="s">
        <v>188</v>
      </c>
    </row>
    <row r="83" spans="1:6" x14ac:dyDescent="0.45">
      <c r="A83" s="9">
        <v>81</v>
      </c>
      <c r="B83" s="9" t="s">
        <v>189</v>
      </c>
      <c r="C83" s="10">
        <f>'[1]Back data'!CF1074</f>
        <v>-233058507</v>
      </c>
      <c r="D83" s="11"/>
      <c r="E83" s="9" t="s">
        <v>190</v>
      </c>
      <c r="F83" s="9" t="s">
        <v>191</v>
      </c>
    </row>
    <row r="84" spans="1:6" x14ac:dyDescent="0.45">
      <c r="A84" s="9">
        <v>82</v>
      </c>
      <c r="B84" s="9" t="s">
        <v>192</v>
      </c>
      <c r="C84" s="10">
        <f>'[1]Back data'!CG1074</f>
        <v>0</v>
      </c>
      <c r="D84" s="11"/>
      <c r="E84" s="9" t="s">
        <v>193</v>
      </c>
      <c r="F84" s="9" t="s">
        <v>194</v>
      </c>
    </row>
    <row r="85" spans="1:6" x14ac:dyDescent="0.45">
      <c r="A85" s="9">
        <v>83</v>
      </c>
      <c r="B85" s="9" t="s">
        <v>195</v>
      </c>
      <c r="C85" s="10">
        <f>'[1]Back data'!CH1074</f>
        <v>0</v>
      </c>
      <c r="D85" s="11"/>
      <c r="E85" s="9" t="s">
        <v>196</v>
      </c>
      <c r="F85" s="9" t="s">
        <v>197</v>
      </c>
    </row>
    <row r="86" spans="1:6" x14ac:dyDescent="0.45">
      <c r="A86" s="9">
        <v>84</v>
      </c>
      <c r="B86" s="9" t="s">
        <v>198</v>
      </c>
      <c r="C86" s="10">
        <f>'[1]Back data'!CI1074</f>
        <v>0</v>
      </c>
      <c r="D86" s="11"/>
      <c r="E86" s="9" t="s">
        <v>199</v>
      </c>
      <c r="F86" s="9" t="s">
        <v>200</v>
      </c>
    </row>
    <row r="87" spans="1:6" x14ac:dyDescent="0.45">
      <c r="A87" s="9">
        <v>85</v>
      </c>
      <c r="B87" s="9" t="s">
        <v>201</v>
      </c>
      <c r="C87" s="10">
        <f>'[1]Back data'!CJ1074</f>
        <v>0</v>
      </c>
      <c r="D87" s="11"/>
      <c r="E87" s="9" t="s">
        <v>202</v>
      </c>
      <c r="F87" s="9" t="s">
        <v>203</v>
      </c>
    </row>
    <row r="88" spans="1:6" x14ac:dyDescent="0.45">
      <c r="A88" s="9">
        <v>86</v>
      </c>
      <c r="B88" s="9" t="s">
        <v>204</v>
      </c>
      <c r="C88" s="10">
        <f>'[1]Back data'!CK1074</f>
        <v>0</v>
      </c>
      <c r="D88" s="11"/>
      <c r="E88" s="9" t="s">
        <v>205</v>
      </c>
      <c r="F88" s="9" t="s">
        <v>206</v>
      </c>
    </row>
    <row r="89" spans="1:6" x14ac:dyDescent="0.45">
      <c r="A89" s="9">
        <v>87</v>
      </c>
      <c r="B89" s="9" t="s">
        <v>207</v>
      </c>
      <c r="C89" s="10">
        <f>'[1]Back data'!CL1074</f>
        <v>0</v>
      </c>
      <c r="D89" s="11"/>
      <c r="E89" s="9" t="s">
        <v>208</v>
      </c>
      <c r="F89" s="9" t="s">
        <v>209</v>
      </c>
    </row>
    <row r="90" spans="1:6" x14ac:dyDescent="0.45">
      <c r="A90" s="9">
        <v>88</v>
      </c>
      <c r="B90" s="9" t="s">
        <v>210</v>
      </c>
      <c r="C90" s="10">
        <f>'[1]Back data'!CM1074</f>
        <v>0</v>
      </c>
      <c r="D90" s="11"/>
      <c r="E90" s="9" t="s">
        <v>211</v>
      </c>
      <c r="F90" s="9" t="s">
        <v>212</v>
      </c>
    </row>
    <row r="91" spans="1:6" x14ac:dyDescent="0.45">
      <c r="A91" s="9">
        <v>89</v>
      </c>
      <c r="B91" s="9" t="s">
        <v>213</v>
      </c>
      <c r="C91" s="10">
        <f>'[1]Back data'!CN1074</f>
        <v>0</v>
      </c>
      <c r="D91" s="11"/>
      <c r="E91" s="9" t="s">
        <v>214</v>
      </c>
      <c r="F91" s="9" t="s">
        <v>215</v>
      </c>
    </row>
    <row r="92" spans="1:6" x14ac:dyDescent="0.45">
      <c r="A92" s="9">
        <v>90</v>
      </c>
      <c r="B92" s="9" t="s">
        <v>216</v>
      </c>
      <c r="C92" s="10">
        <f>'[1]Back data'!CO1074</f>
        <v>-75200000</v>
      </c>
      <c r="D92" s="12"/>
      <c r="E92" s="9" t="s">
        <v>217</v>
      </c>
      <c r="F92" s="9" t="s">
        <v>218</v>
      </c>
    </row>
    <row r="93" spans="1:6" x14ac:dyDescent="0.45">
      <c r="A93" s="9">
        <v>91</v>
      </c>
      <c r="B93" s="9" t="s">
        <v>91</v>
      </c>
      <c r="C93" s="10">
        <f>'[1]Back data'!DG1074</f>
        <v>0</v>
      </c>
      <c r="D93" s="11"/>
      <c r="E93" s="9" t="s">
        <v>219</v>
      </c>
      <c r="F93" s="9" t="s">
        <v>220</v>
      </c>
    </row>
    <row r="94" spans="1:6" x14ac:dyDescent="0.45">
      <c r="A94" s="3">
        <v>92</v>
      </c>
      <c r="B94" s="3" t="s">
        <v>221</v>
      </c>
      <c r="C94" s="4">
        <f>SUM(C95:C107)</f>
        <v>107548654</v>
      </c>
      <c r="D94" s="13" t="s">
        <v>283</v>
      </c>
      <c r="E94" s="3"/>
      <c r="F94" s="3"/>
    </row>
    <row r="95" spans="1:6" x14ac:dyDescent="0.45">
      <c r="A95" s="9">
        <v>93</v>
      </c>
      <c r="B95" s="9" t="s">
        <v>222</v>
      </c>
      <c r="C95" s="10">
        <f>'[1]Back data'!CP1074</f>
        <v>88603409</v>
      </c>
      <c r="D95" s="11"/>
      <c r="E95" s="9" t="s">
        <v>223</v>
      </c>
      <c r="F95" s="9" t="s">
        <v>224</v>
      </c>
    </row>
    <row r="96" spans="1:6" x14ac:dyDescent="0.45">
      <c r="A96" s="9">
        <v>94</v>
      </c>
      <c r="B96" s="9" t="s">
        <v>225</v>
      </c>
      <c r="C96" s="10">
        <f>'[1]Back data'!CQ1074</f>
        <v>656266176</v>
      </c>
      <c r="D96" s="12"/>
      <c r="E96" s="9" t="s">
        <v>226</v>
      </c>
      <c r="F96" s="9" t="s">
        <v>227</v>
      </c>
    </row>
    <row r="97" spans="1:6" x14ac:dyDescent="0.45">
      <c r="A97" s="9">
        <v>95</v>
      </c>
      <c r="B97" s="9" t="s">
        <v>228</v>
      </c>
      <c r="C97" s="10">
        <f>'[1]Back data'!CR1074</f>
        <v>90931055</v>
      </c>
      <c r="D97" s="12"/>
      <c r="E97" s="9" t="s">
        <v>229</v>
      </c>
      <c r="F97" s="9" t="s">
        <v>230</v>
      </c>
    </row>
    <row r="98" spans="1:6" x14ac:dyDescent="0.45">
      <c r="A98" s="9">
        <v>96</v>
      </c>
      <c r="B98" s="9" t="s">
        <v>231</v>
      </c>
      <c r="C98" s="10">
        <f>'[1]Back data'!CS1074</f>
        <v>4600000</v>
      </c>
      <c r="D98" s="12"/>
      <c r="E98" s="9" t="s">
        <v>232</v>
      </c>
      <c r="F98" s="9" t="s">
        <v>233</v>
      </c>
    </row>
    <row r="99" spans="1:6" x14ac:dyDescent="0.45">
      <c r="A99" s="9">
        <v>97</v>
      </c>
      <c r="B99" s="9" t="s">
        <v>234</v>
      </c>
      <c r="C99" s="10">
        <f>'[1]Back data'!CT1074</f>
        <v>0</v>
      </c>
      <c r="D99" s="11"/>
      <c r="E99" s="9" t="s">
        <v>235</v>
      </c>
      <c r="F99" s="9" t="s">
        <v>236</v>
      </c>
    </row>
    <row r="100" spans="1:6" x14ac:dyDescent="0.45">
      <c r="A100" s="9">
        <v>98</v>
      </c>
      <c r="B100" s="9" t="s">
        <v>237</v>
      </c>
      <c r="C100" s="10">
        <f>'[1]Back data'!CU1074</f>
        <v>0</v>
      </c>
      <c r="D100" s="11"/>
      <c r="E100" s="9" t="s">
        <v>238</v>
      </c>
      <c r="F100" s="9" t="s">
        <v>239</v>
      </c>
    </row>
    <row r="101" spans="1:6" x14ac:dyDescent="0.45">
      <c r="A101" s="9">
        <v>99</v>
      </c>
      <c r="B101" s="9" t="s">
        <v>240</v>
      </c>
      <c r="C101" s="10">
        <f>'[1]Back data'!CV1074</f>
        <v>0</v>
      </c>
      <c r="D101" s="11"/>
      <c r="E101" s="9" t="s">
        <v>241</v>
      </c>
      <c r="F101" s="9" t="s">
        <v>242</v>
      </c>
    </row>
    <row r="102" spans="1:6" x14ac:dyDescent="0.45">
      <c r="A102" s="9">
        <v>100</v>
      </c>
      <c r="B102" s="9" t="s">
        <v>243</v>
      </c>
      <c r="C102" s="10">
        <f>'[1]Back data'!CW1074</f>
        <v>0</v>
      </c>
      <c r="D102" s="11"/>
      <c r="E102" s="9" t="s">
        <v>244</v>
      </c>
      <c r="F102" s="9" t="s">
        <v>245</v>
      </c>
    </row>
    <row r="103" spans="1:6" x14ac:dyDescent="0.45">
      <c r="A103" s="9">
        <v>101</v>
      </c>
      <c r="B103" s="9" t="s">
        <v>246</v>
      </c>
      <c r="C103" s="10">
        <f>'[1]Back data'!CX1074</f>
        <v>0</v>
      </c>
      <c r="D103" s="11"/>
      <c r="E103" s="9" t="s">
        <v>247</v>
      </c>
      <c r="F103" s="9" t="s">
        <v>248</v>
      </c>
    </row>
    <row r="104" spans="1:6" x14ac:dyDescent="0.45">
      <c r="A104" s="9">
        <v>102</v>
      </c>
      <c r="B104" s="9" t="s">
        <v>249</v>
      </c>
      <c r="C104" s="10">
        <f>'[1]Back data'!CY1074</f>
        <v>0</v>
      </c>
      <c r="D104" s="11"/>
      <c r="E104" s="9" t="s">
        <v>250</v>
      </c>
      <c r="F104" s="9" t="s">
        <v>251</v>
      </c>
    </row>
    <row r="105" spans="1:6" x14ac:dyDescent="0.45">
      <c r="A105" s="9">
        <v>103</v>
      </c>
      <c r="B105" s="9" t="s">
        <v>252</v>
      </c>
      <c r="C105" s="10">
        <f>'[1]Back data'!CZ1074</f>
        <v>0</v>
      </c>
      <c r="D105" s="11"/>
      <c r="E105" s="9" t="s">
        <v>253</v>
      </c>
      <c r="F105" s="9" t="s">
        <v>254</v>
      </c>
    </row>
    <row r="106" spans="1:6" x14ac:dyDescent="0.45">
      <c r="A106" s="9">
        <v>104</v>
      </c>
      <c r="B106" s="9" t="s">
        <v>255</v>
      </c>
      <c r="C106" s="10">
        <f>'[1]Back data'!DA1074</f>
        <v>-595889247</v>
      </c>
      <c r="D106" s="12"/>
      <c r="E106" s="9" t="s">
        <v>256</v>
      </c>
      <c r="F106" s="9" t="s">
        <v>257</v>
      </c>
    </row>
    <row r="107" spans="1:6" x14ac:dyDescent="0.45">
      <c r="A107" s="9">
        <v>105</v>
      </c>
      <c r="B107" s="9" t="s">
        <v>91</v>
      </c>
      <c r="C107" s="10">
        <f>'[1]Back data'!DF1074</f>
        <v>-136962739</v>
      </c>
      <c r="D107" s="12"/>
      <c r="E107" s="9" t="s">
        <v>258</v>
      </c>
      <c r="F107" s="9" t="s">
        <v>259</v>
      </c>
    </row>
    <row r="108" spans="1:6" x14ac:dyDescent="0.45">
      <c r="A108" s="3">
        <v>106</v>
      </c>
      <c r="B108" s="3" t="s">
        <v>260</v>
      </c>
      <c r="C108" s="4">
        <f>(C76-C77)-C94</f>
        <v>10755767924</v>
      </c>
      <c r="D108" s="13" t="s">
        <v>284</v>
      </c>
      <c r="E108" s="3"/>
      <c r="F108" s="3"/>
    </row>
    <row r="109" spans="1:6" x14ac:dyDescent="0.45">
      <c r="A109" s="9">
        <v>107</v>
      </c>
      <c r="B109" s="9" t="s">
        <v>288</v>
      </c>
      <c r="C109" s="10">
        <f>'[1]Back data'!DB1074</f>
        <v>0</v>
      </c>
      <c r="D109" s="11"/>
      <c r="E109" s="9" t="s">
        <v>261</v>
      </c>
      <c r="F109" s="9" t="s">
        <v>262</v>
      </c>
    </row>
    <row r="110" spans="1:6" x14ac:dyDescent="0.45">
      <c r="A110" s="3">
        <v>108</v>
      </c>
      <c r="B110" s="3" t="s">
        <v>263</v>
      </c>
      <c r="C110" s="4">
        <f>C108-C109</f>
        <v>10755767924</v>
      </c>
      <c r="D110" s="13" t="s">
        <v>285</v>
      </c>
      <c r="E110" s="3"/>
      <c r="F110" s="3"/>
    </row>
  </sheetData>
  <mergeCells count="6">
    <mergeCell ref="A1:A2"/>
    <mergeCell ref="B1:B2"/>
    <mergeCell ref="C1:C2"/>
    <mergeCell ref="D1:D2"/>
    <mergeCell ref="F1:F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Songhee Lee</dc:creator>
  <cp:lastModifiedBy>Songhee Lee</cp:lastModifiedBy>
  <dcterms:created xsi:type="dcterms:W3CDTF">2025-12-04T06:02:45Z</dcterms:created>
  <dcterms:modified xsi:type="dcterms:W3CDTF">2025-12-05T01:58:31Z</dcterms:modified>
</cp:coreProperties>
</file>